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ee3139f7b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6fa679786a4a5c"/>
    <x:sheet xmlns:r="http://schemas.openxmlformats.org/officeDocument/2006/relationships" name="Assumptions" sheetId="2" r:id="Rb60289173a944b3d"/>
    <x:sheet xmlns:r="http://schemas.openxmlformats.org/officeDocument/2006/relationships" name="Monthly" sheetId="3" r:id="R0a5f951f98984c1f"/>
    <x:sheet xmlns:r="http://schemas.openxmlformats.org/officeDocument/2006/relationships" name="Opening" sheetId="4" r:id="R745b5851523e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&quot;-&quot;"/>
    <x:numFmt numFmtId="201" formatCode="0.0%"/>
    <x:numFmt numFmtId="202" formatCode="0.00"/>
    <x:numFmt numFmtId="203" formatCode="0%"/>
  </x:numFmts>
  <x:fonts count="7">
    <x:font>
      <x:sz val="11"/>
      <x:name val="Carlito"/>
    </x:font>
    <x:font>
      <x:sz val="10"/>
      <x:color rgb="FF2B3D17"/>
      <x:name val="Arial"/>
    </x:font>
    <x:font>
      <x:b/>
      <x:sz val="16"/>
      <x:color rgb="FF2B3D17"/>
      <x:name val="Arial"/>
    </x:font>
    <x:font>
      <x:sz val="10"/>
      <x:color rgb="FF00804B"/>
      <x:name val="Arial"/>
    </x:font>
    <x:font>
      <x:sz val="10"/>
      <x:color rgb="FF165DB5"/>
      <x:name val="Arial"/>
    </x:font>
    <x:font>
      <x:sz val="10"/>
      <x:color rgb="FF11111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0E4"/>
      </x:patternFill>
    </x:fill>
    <x:fill>
      <x:patternFill patternType="solid">
        <x:fgColor rgb="FFD19C36"/>
      </x:patternFill>
    </x:fill>
    <x:fill>
      <x:patternFill patternType="solid">
        <x:fgColor rgb="FF2B3D17"/>
      </x:patternFill>
    </x:fill>
  </x:fills>
  <x:borders count="2">
    <x:border>
      <x:left/>
      <x:right/>
      <x:top/>
      <x:bottom/>
      <x:diagonal/>
    </x:border>
    <x:border>
      <x:left style="dashed">
        <x:color rgb="FF2B3D17"/>
      </x:left>
      <x:right style="dashed">
        <x:color rgb="FF2B3D17"/>
      </x:right>
      <x:top style="dashed">
        <x:color rgb="FF2B3D17"/>
      </x:top>
      <x:bottom style="dashed">
        <x:color rgb="FF2B3D17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5" fillId="0" borderId="0" xfId="0" applyNumberFormat="1" applyFont="1" applyFill="1" applyBorder="1"/>
    <x:xf numFmtId="0" fontId="1" fillId="2" borderId="0" xfId="0" applyNumberFormat="1" applyFont="1" applyFill="1" applyBorder="1"/>
    <x:xf numFmtId="200" fontId="5" fillId="2" borderId="0" xfId="0" applyNumberFormat="1" applyFont="1" applyFill="1" applyBorder="1"/>
    <x:xf numFmtId="203" fontId="1" fillId="0" borderId="0" xfId="0" applyNumberFormat="1" applyFont="1" applyFill="1" applyBorder="1"/>
    <x:xf numFmtId="203" fontId="4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2" fontId="5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200" fontId="6" fillId="4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200" fontId="3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4E4"/>
        </x:patternFill>
      </x:fill>
    </x:dxf>
    <x:dxf>
      <x:font>
        <x:color rgb="FFB9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3288a546c45dd" /><Relationship Type="http://schemas.openxmlformats.org/officeDocument/2006/relationships/theme" Target="/xl/theme/theme1.xml" Id="Rc14130ee13504742" /><Relationship Type="http://schemas.openxmlformats.org/officeDocument/2006/relationships/sharedStrings" Target="/xl/sharedStrings.xml" Id="R0f2fbd522f79496d" /><Relationship Type="http://schemas.openxmlformats.org/officeDocument/2006/relationships/worksheet" Target="/xl/worksheets/sheet1.xml" Id="R586fa679786a4a5c" /><Relationship Type="http://schemas.openxmlformats.org/officeDocument/2006/relationships/worksheet" Target="/xl/worksheets/sheet2.xml" Id="Rb60289173a944b3d" /><Relationship Type="http://schemas.openxmlformats.org/officeDocument/2006/relationships/worksheet" Target="/xl/worksheets/sheet3.xml" Id="R0a5f951f98984c1f" /><Relationship Type="http://schemas.openxmlformats.org/officeDocument/2006/relationships/worksheet" Target="/xl/worksheets/sheet4.xml" Id="R745b5851523e48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692bfae2844a08" /><Relationship Type="http://schemas.openxmlformats.org/officeDocument/2006/relationships/chart" Target="/xl/drawings/charts/chart2.xml" Id="R427d3be9b72b41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sales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Net sales</c:v>
          </c:tx>
          <c:spPr>
            <a:solidFill xmlns:a="http://schemas.openxmlformats.org/drawingml/2006/main">
              <a:srgbClr val="2B3D17"/>
            </a:solidFill>
          </c:spPr>
          <c:invertIfNegative val="0"/>
          <c:cat>
            <c:strRef>
              <c:f>'Summary'!$H$8:$H$10</c:f>
              <c:strCache>
                <c:ptCount val="0"/>
              </c:strCache>
            </c:strRef>
          </c:cat>
          <c:val>
            <c:numRef>
              <c:f>'Summary'!$I$8:$I$10</c:f>
              <c:numCache>
                <c:formatCode>#,##0;(#,##0);"-"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Store EBITDA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EBITDA</c:v>
          </c:tx>
          <c:spPr>
            <a:solidFill xmlns:a="http://schemas.openxmlformats.org/drawingml/2006/main">
              <a:srgbClr val="2B3D17"/>
            </a:solidFill>
          </c:spPr>
          <c:invertIfNegative val="0"/>
          <c:cat>
            <c:strRef>
              <c:f>'Summary'!$H$8:$H$10</c:f>
              <c:strCache>
                <c:ptCount val="0"/>
              </c:strCache>
            </c:strRef>
          </c:cat>
          <c:val>
            <c:numRef>
              <c:f>'Summary'!$J$8:$J$10</c:f>
              <c:numCache>
                <c:formatCode>#,##0;(#,##0);"-"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692bfae2844a08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7d3be9b72b41c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3a015f3f034cf3" /></Relationships>
</file>

<file path=xl/worksheets/sheet1.xml><?xml version="1.0" encoding="utf-8"?>
<x:worksheet xmlns:x="http://schemas.openxmlformats.org/spreadsheetml/2006/main">
  <x:sheetPr>
    <x:tabColor rgb="FF2B3D17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21" customHeight="1">
      <x:c r="A2" s="1"/>
      <x:c r="B2" s="1"/>
      <x:c r="C2" s="3" t="str">
        <x:v>Plaisir investor forecast (USD)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 ht="21" customHeight="1">
      <x:c r="A3" s="1"/>
      <x:c r="B3" s="1"/>
      <x:c r="C3" s="1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21" customHeight="1">
      <x:c r="A4" s="1"/>
      <x:c r="B4" s="1"/>
      <x:c r="C4" s="1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21" customHeight="1">
      <x:c r="A5" s="1"/>
      <x:c r="B5" s="1"/>
      <x:c r="C5" s="1" t="str">
        <x:v>Trading years from opening; no historical actuals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 ht="21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1" customHeight="1">
      <x:c r="A7" s="1"/>
      <x:c r="B7" s="1"/>
      <x:c r="C7" s="23"/>
      <x:c r="D7" s="24" t="str">
        <x:v>Trading Year 1</x:v>
      </x:c>
      <x:c r="E7" s="24" t="str">
        <x:v>Trading Year 2</x:v>
      </x:c>
      <x:c r="F7" s="24" t="str">
        <x:v>Trading Year 3</x:v>
      </x:c>
      <x:c r="G7" s="2"/>
      <x:c r="H7" s="2" t="str">
        <x:v>Period</x:v>
      </x:c>
      <x:c r="I7" s="2" t="str">
        <x:v>Net sales</x:v>
      </x:c>
      <x:c r="J7" s="2" t="str">
        <x:v>EBITDA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21" customHeight="1">
      <x:c r="A8" s="1"/>
      <x:c r="B8" s="1"/>
      <x:c r="C8" s="10" t="str">
        <x:v>Net sales</x:v>
      </x:c>
      <x:c r="D8" s="27" t="n">
        <x:f>SUM('Monthly'!D27:O27)</x:f>
        <x:v>1003995</x:v>
      </x:c>
      <x:c r="E8" s="27" t="n">
        <x:f>SUM('Monthly'!P27:AA27)</x:f>
        <x:v>1234764</x:v>
      </x:c>
      <x:c r="F8" s="27" t="n">
        <x:f>SUM('Monthly'!AB27:AM27)</x:f>
        <x:v>1271806.92</x:v>
      </x:c>
      <x:c r="G8" s="2"/>
      <x:c r="H8" s="2" t="str">
        <x:v>Year 1</x:v>
      </x:c>
      <x:c r="I8" s="9" t="n">
        <x:f>D8</x:f>
        <x:v>1003995</x:v>
      </x:c>
      <x:c r="J8" s="9" t="n">
        <x:f>D15</x:f>
        <x:v>-132879.07966625007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21" customHeight="1">
      <x:c r="A9" s="1"/>
      <x:c r="B9" s="1"/>
      <x:c r="C9" s="10" t="str">
        <x:v>Gross profit</x:v>
      </x:c>
      <x:c r="D9" s="27" t="n">
        <x:f>SUM('Monthly'!D33:O33)</x:f>
        <x:v>698726.25</x:v>
      </x:c>
      <x:c r="E9" s="27" t="n">
        <x:f>SUM('Monthly'!P33:AA33)</x:f>
        <x:v>859329</x:v>
      </x:c>
      <x:c r="F9" s="27" t="n">
        <x:f>SUM('Monthly'!AB33:AM33)</x:f>
        <x:v>885108.8700000001</x:v>
      </x:c>
      <x:c r="G9" s="2"/>
      <x:c r="H9" s="2" t="str">
        <x:v>Year 2</x:v>
      </x:c>
      <x:c r="I9" s="9" t="n">
        <x:f>E8</x:f>
        <x:v>1234764</x:v>
      </x:c>
      <x:c r="J9" s="9" t="n">
        <x:f>E15</x:f>
        <x:v>-13454.493796999872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21" customHeight="1">
      <x:c r="A10" s="1"/>
      <x:c r="B10" s="1"/>
      <x:c r="C10" s="1" t="str">
        <x:v>Gross margin</x:v>
      </x:c>
      <x:c r="D10" s="28" t="n">
        <x:f>D9/D8</x:f>
        <x:v>0.6959459459459459</x:v>
      </x:c>
      <x:c r="E10" s="28" t="n">
        <x:f>E9/E8</x:f>
        <x:v>0.6959459459459459</x:v>
      </x:c>
      <x:c r="F10" s="28" t="n">
        <x:f>F9/F8</x:f>
        <x:v>0.695945945945946</x:v>
      </x:c>
      <x:c r="G10" s="2"/>
      <x:c r="H10" s="2" t="str">
        <x:v>Year 3</x:v>
      </x:c>
      <x:c r="I10" s="9" t="n">
        <x:f>F8</x:f>
        <x:v>1271806.92</x:v>
      </x:c>
      <x:c r="J10" s="9" t="n">
        <x:f>F15</x:f>
        <x:v>-15601.632610909888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21" customHeight="1">
      <x:c r="A11" s="1"/>
      <x:c r="B11" s="1"/>
      <x:c r="C11" s="1" t="str">
        <x:v>Total payroll</x:v>
      </x:c>
      <x:c r="D11" s="2" t="n">
        <x:f>SUM('Monthly'!D49:O49)</x:f>
        <x:v>550231.1517500001</x:v>
      </x:c>
      <x:c r="E11" s="2" t="n">
        <x:f>SUM('Monthly'!P49:AA49)</x:f>
        <x:v>570165.4522999998</x:v>
      </x:c>
      <x:c r="F11" s="2" t="n">
        <x:f>SUM('Monthly'!AB49:AM49)</x:f>
        <x:v>589276.3598689999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21" customHeight="1">
      <x:c r="A12" s="1"/>
      <x:c r="B12" s="1"/>
      <x:c r="C12" s="1" t="str">
        <x:v>Occupancy</x:v>
      </x:c>
      <x:c r="D12" s="2" t="n">
        <x:f>SUM('Monthly'!D51:O51)</x:f>
        <x:v>144000</x:v>
      </x:c>
      <x:c r="E12" s="2" t="n">
        <x:f>SUM('Monthly'!P51:AA51)</x:f>
        <x:v>148320</x:v>
      </x:c>
      <x:c r="F12" s="2" t="n">
        <x:f>SUM('Monthly'!AB51:AM51)</x:f>
        <x:v>152769.6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21" customHeight="1">
      <x:c r="A13" s="1"/>
      <x:c r="B13" s="1"/>
      <x:c r="C13" s="1" t="str">
        <x:v>Other fixed operating costs</x:v>
      </x:c>
      <x:c r="D13" s="2" t="n">
        <x:f>SUM('Monthly'!D52:O52)</x:f>
        <x:v>72000</x:v>
      </x:c>
      <x:c r="E13" s="2" t="n">
        <x:f>SUM('Monthly'!P52:AA52)</x:f>
        <x:v>74160</x:v>
      </x:c>
      <x:c r="F13" s="2" t="n">
        <x:f>SUM('Monthly'!AB52:AM52)</x:f>
        <x:v>76384.8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21" customHeight="1">
      <x:c r="A14" s="1"/>
      <x:c r="B14" s="1"/>
      <x:c r="C14" s="1" t="str">
        <x:v>Payment / marketing / consumables</x:v>
      </x:c>
      <x:c r="D14" s="2" t="n">
        <x:f>SUM('Monthly'!D53:O55)</x:f>
        <x:v>65374.17791625001</x:v>
      </x:c>
      <x:c r="E14" s="2" t="n">
        <x:f>SUM('Monthly'!P53:AA55)</x:f>
        <x:v>80138.04149700003</x:v>
      </x:c>
      <x:c r="F14" s="2" t="n">
        <x:f>SUM('Monthly'!AB53:AM55)</x:f>
        <x:v>82279.74274190997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21" customHeight="1">
      <x:c r="A15" s="1"/>
      <x:c r="B15" s="1"/>
      <x:c r="C15" s="10" t="str">
        <x:v>EBITDA</x:v>
      </x:c>
      <x:c r="D15" s="27" t="n">
        <x:f>SUM('Monthly'!D56:O56)</x:f>
        <x:v>-132879.07966625007</x:v>
      </x:c>
      <x:c r="E15" s="27" t="n">
        <x:f>SUM('Monthly'!P56:AA56)</x:f>
        <x:v>-13454.493796999872</x:v>
      </x:c>
      <x:c r="F15" s="27" t="n">
        <x:f>SUM('Monthly'!AB56:AM56)</x:f>
        <x:v>-15601.632610909888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21" customHeight="1">
      <x:c r="A16" s="1"/>
      <x:c r="B16" s="1"/>
      <x:c r="C16" s="1" t="str">
        <x:v>EBITDA margin</x:v>
      </x:c>
      <x:c r="D16" s="28" t="n">
        <x:f>D15/D8</x:f>
        <x:v>-0.13235034005771948</x:v>
      </x:c>
      <x:c r="E16" s="28" t="n">
        <x:f>E15/E8</x:f>
        <x:v>-0.010896409189934167</x:v>
      </x:c>
      <x:c r="F16" s="28" t="n">
        <x:f>F15/F8</x:f>
        <x:v>-0.012267296525568433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21" customHeight="1">
      <x:c r="A17" s="1"/>
      <x:c r="B17" s="1"/>
      <x:c r="C17" s="1" t="str">
        <x:v>Depreciation</x:v>
      </x:c>
      <x:c r="D17" s="2" t="n">
        <x:f>SUM('Monthly'!D62:O62)</x:f>
        <x:v>63296.18624999999</x:v>
      </x:c>
      <x:c r="E17" s="2" t="n">
        <x:f>SUM('Monthly'!P62:AA62)</x:f>
        <x:v>65642.754</x:v>
      </x:c>
      <x:c r="F17" s="2" t="n">
        <x:f>SUM('Monthly'!AB62:AM62)</x:f>
        <x:v>68149.32492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21" customHeight="1">
      <x:c r="A18" s="1"/>
      <x:c r="B18" s="1"/>
      <x:c r="C18" s="1" t="str">
        <x:v>EBIT</x:v>
      </x:c>
      <x:c r="D18" s="2" t="n">
        <x:f>SUM('Monthly'!D63:O63)</x:f>
        <x:v>-196175.26591625006</x:v>
      </x:c>
      <x:c r="E18" s="2" t="n">
        <x:f>SUM('Monthly'!P63:AA63)</x:f>
        <x:v>-79097.24779699987</x:v>
      </x:c>
      <x:c r="F18" s="2" t="n">
        <x:f>SUM('Monthly'!AB63:AM63)</x:f>
        <x:v>-83750.95753090989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1" customHeight="1">
      <x:c r="A19" s="1"/>
      <x:c r="B19" s="1"/>
      <x:c r="C19" s="1" t="str">
        <x:v>Planning tax provision</x:v>
      </x:c>
      <x:c r="D19" s="2" t="n">
        <x:f>SUM('Monthly'!D64:O64)</x:f>
        <x:v>0</x:v>
      </x:c>
      <x:c r="E19" s="2" t="n">
        <x:f>SUM('Monthly'!P64:AA64)</x:f>
        <x:v>0</x:v>
      </x:c>
      <x:c r="F19" s="2" t="n">
        <x:f>SUM('Monthly'!AB64:AM64)</x:f>
        <x:v>0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1" customHeight="1">
      <x:c r="A20" s="1"/>
      <x:c r="B20" s="1"/>
      <x:c r="C20" s="10" t="str">
        <x:v>Net income after planning tax</x:v>
      </x:c>
      <x:c r="D20" s="27" t="n">
        <x:f>SUM('Monthly'!D65:O65)</x:f>
        <x:v>-196175.26591625006</x:v>
      </x:c>
      <x:c r="E20" s="27" t="n">
        <x:f>SUM('Monthly'!P65:AA65)</x:f>
        <x:v>-79097.24779699987</x:v>
      </x:c>
      <x:c r="F20" s="27" t="n">
        <x:f>SUM('Monthly'!AB65:AM65)</x:f>
        <x:v>-83750.95753090989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1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21" customHeight="1">
      <x:c r="A22" s="1"/>
      <x:c r="B22" s="1"/>
      <x:c r="C22" s="1" t="str">
        <x:v>Operating cash after planning tax</x:v>
      </x:c>
      <x:c r="D22" s="2" t="n">
        <x:f>SUM('Monthly'!D72:O72)</x:f>
        <x:v>-133048.07966625004</x:v>
      </x:c>
      <x:c r="E22" s="2" t="n">
        <x:f>SUM('Monthly'!P72:AA72)</x:f>
        <x:v>-14059.563796999872</x:v>
      </x:c>
      <x:c r="F22" s="2" t="n">
        <x:f>SUM('Monthly'!AB72:AM72)</x:f>
        <x:v>-16224.854710909884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1" customHeight="1">
      <x:c r="A23" s="1"/>
      <x:c r="B23" s="1"/>
      <x:c r="C23" s="1" t="str">
        <x:v>Maintenance capex</x:v>
      </x:c>
      <x:c r="D23" s="2" t="n">
        <x:f>SUM('Monthly'!D59:O59)</x:f>
        <x:v>10039.95</x:v>
      </x:c>
      <x:c r="E23" s="2" t="n">
        <x:f>SUM('Monthly'!P59:AA59)</x:f>
        <x:v>12347.639999999998</x:v>
      </x:c>
      <x:c r="F23" s="2" t="n">
        <x:f>SUM('Monthly'!AB59:AM59)</x:f>
        <x:v>12718.069200000005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1" customHeight="1">
      <x:c r="A24" s="1"/>
      <x:c r="B24" s="1"/>
      <x:c r="C24" s="1" t="str">
        <x:v>Free cash flow</x:v>
      </x:c>
      <x:c r="D24" s="2" t="n">
        <x:f>SUM('Monthly'!D73:O73)</x:f>
        <x:v>-143088.02966625002</x:v>
      </x:c>
      <x:c r="E24" s="2" t="n">
        <x:f>SUM('Monthly'!P73:AA73)</x:f>
        <x:v>-26407.203796999882</x:v>
      </x:c>
      <x:c r="F24" s="2" t="n">
        <x:f>SUM('Monthly'!AB73:AM73)</x:f>
        <x:v>-28942.923910909893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1" customHeight="1">
      <x:c r="A25" s="1"/>
      <x:c r="B25" s="1"/>
      <x:c r="C25" s="10" t="str">
        <x:v>Year-end unrestricted cash</x:v>
      </x:c>
      <x:c r="D25" s="27" t="n">
        <x:f>'Monthly'!O75</x:f>
        <x:v>278911.97033374995</x:v>
      </x:c>
      <x:c r="E25" s="27" t="n">
        <x:f>'Monthly'!AA75</x:f>
        <x:v>252504.76653675002</x:v>
      </x:c>
      <x:c r="F25" s="27" t="n">
        <x:f>'Monthly'!AM75</x:f>
        <x:v>223561.84262584013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1" customHeight="1">
      <x:c r="A26" s="1"/>
      <x:c r="B26" s="1"/>
      <x:c r="C26" s="1" t="str">
        <x:v>Lowest monthly cash</x:v>
      </x:c>
      <x:c r="D26" s="2" t="n">
        <x:f>MIN('Monthly'!D75:O75)</x:f>
        <x:v>278911.97033374995</x:v>
      </x:c>
      <x:c r="E26" s="2" t="n">
        <x:f>MIN('Monthly'!P75:AA75)</x:f>
        <x:v>252504.76653675002</x:v>
      </x:c>
      <x:c r="F26" s="2" t="n">
        <x:f>MIN('Monthly'!AB75:AM75)</x:f>
        <x:v>223561.84262584013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1" customHeight="1">
      <x:c r="A27" s="1"/>
      <x:c r="B27" s="1"/>
      <x:c r="C27" s="1" t="str">
        <x:v>Year-end liquidity policy floor</x:v>
      </x:c>
      <x:c r="D27" s="2" t="n">
        <x:f>'Monthly'!O92</x:f>
        <x:v>189637.64750000002</x:v>
      </x:c>
      <x:c r="E27" s="2" t="n">
        <x:f>'Monthly'!AA92</x:f>
        <x:v>195799.876925</x:v>
      </x:c>
      <x:c r="F27" s="2" t="n">
        <x:f>'Monthly'!AM92</x:f>
        <x:v>202175.35923275002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1" customHeight="1">
      <x:c r="A28" s="1"/>
      <x:c r="B28" s="1"/>
      <x:c r="C28" s="1" t="str">
        <x:v>Year-end cash above / below policy</x:v>
      </x:c>
      <x:c r="D28" s="2" t="n">
        <x:f>'Monthly'!O93</x:f>
        <x:v>89274.32283374993</x:v>
      </x:c>
      <x:c r="E28" s="2" t="n">
        <x:f>'Monthly'!AA93</x:f>
        <x:v>56704.889611750026</x:v>
      </x:c>
      <x:c r="F28" s="2" t="n">
        <x:f>'Monthly'!AM93</x:f>
        <x:v>21386.483393090108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21" customHeight="1">
      <x:c r="A30" s="1"/>
      <x:c r="B30" s="1"/>
      <x:c r="C30" s="1" t="str">
        <x:v>Annual paid visits</x:v>
      </x:c>
      <x:c r="D30" s="2" t="n">
        <x:f>SUM('Monthly'!D22:O22)</x:f>
        <x:v>54270</x:v>
      </x:c>
      <x:c r="E30" s="2" t="n">
        <x:f>SUM('Monthly'!P22:AA22)</x:f>
        <x:v>64800</x:v>
      </x:c>
      <x:c r="F30" s="2" t="n">
        <x:f>SUM('Monthly'!AB22:AM22)</x:f>
        <x:v>64800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21" customHeight="1">
      <x:c r="A31" s="1"/>
      <x:c r="B31" s="1"/>
      <x:c r="C31" s="1" t="str">
        <x:v>Realised spend / visit</x:v>
      </x:c>
      <x:c r="D31" s="17" t="n">
        <x:f>D8/D30</x:f>
        <x:v>18.5</x:v>
      </x:c>
      <x:c r="E31" s="17" t="n">
        <x:f>E8/E30</x:f>
        <x:v>19.055</x:v>
      </x:c>
      <x:c r="F31" s="17" t="n">
        <x:f>F8/F30</x:f>
        <x:v>19.626649999999998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1" customHeight="1">
      <x:c r="A32" s="1"/>
      <x:c r="B32" s="1"/>
      <x:c r="C32" s="1" t="str">
        <x:v>Established monthly operating break-even</x:v>
      </x:c>
      <x:c r="D32" s="2" t="n">
        <x:f>'Monthly'!O91</x:f>
        <x:v>101435.14967899614</x:v>
      </x:c>
      <x:c r="E32" s="2" t="n">
        <x:f>'Monthly'!AA91</x:f>
        <x:v>104695.55279764679</x:v>
      </x:c>
      <x:c r="F32" s="2" t="n">
        <x:f>'Monthly'!AM91</x:f>
        <x:v>108068.79517773028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1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1" customHeight="1">
      <x:c r="A35" s="1"/>
      <x:c r="B35" s="1"/>
      <x:c r="C35" s="1" t="str">
        <x:v>Pre-opening cash use</x:v>
      </x:c>
      <x:c r="D35" s="2" t="n">
        <x:f>'Opening'!E22</x:f>
        <x:v>678000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1" customHeight="1">
      <x:c r="A36" s="1"/>
      <x:c r="B36" s="1"/>
      <x:c r="C36" s="1" t="str">
        <x:v>Illustrative equity funding</x:v>
      </x:c>
      <x:c r="D36" s="2" t="n">
        <x:f>'Opening'!E23</x:f>
        <x:v>1100000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35" customHeight="1">
      <x:c r="A37" s="1"/>
      <x:c r="B37" s="1"/>
      <x:c r="C37" s="29" t="str">
        <x:v>Funding required to preserve policy (36 months)</x:v>
      </x:c>
      <x:c r="D37" s="27" t="n">
        <x:f>'Opening'!E23-MIN('Monthly'!D93:AM93)</x:f>
        <x:v>1078613.51660691</x:v>
      </x:c>
      <x:c r="E37" s="27"/>
      <x:c r="F37" s="27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1" customHeight="1">
      <x:c r="A38" s="1"/>
      <x:c r="B38" s="1"/>
      <x:c r="C38" s="1" t="str">
        <x:v>Funding surplus / (shortfall)</x:v>
      </x:c>
      <x:c r="D38" s="2" t="n">
        <x:f>D36-D37</x:f>
        <x:v>21386.48339309008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1" customHeight="1">
      <x:c r="A41" s="1"/>
      <x:c r="B41" s="1"/>
      <x:c r="C41" s="1" t="str">
        <x:v>Forecast basis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1" customHeight="1">
      <x:c r="A42" s="1"/>
      <x:c r="B42" s="1"/>
      <x:c r="C42" s="1" t="str">
        <x:v>Single store. No unproven traffic growth after opening ramp.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1" customHeight="1">
      <x:c r="A43" s="1"/>
      <x:c r="B43" s="1"/>
      <x:c r="C43" s="1" t="str">
        <x:v>No event, membership, franchise or exit proceeds included.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1" customHeight="1">
      <x:c r="A44" s="1"/>
      <x:c r="B44" s="1"/>
      <x:c r="C44" s="1" t="str">
        <x:v>Tax is a planning allowance; no loss carryforwards or tax credits assumed.</x:v>
      </x:c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1" customHeight="1">
      <x:c r="A45" s="1"/>
      <x:c r="B45" s="1"/>
      <x:c r="C45" s="1" t="str">
        <x:v>Sale tax and tips are ringfenced/remitted; excluded from free cash balances.</x:v>
      </x:c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1" customHeight="1">
      <x:c r="A46" s="1"/>
      <x:c r="B46" s="1"/>
      <x:c r="C46" s="1" t="str">
        <x:v>Funding requirement is selected-case minimum cash policy, not valuation.</x:v>
      </x:c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1" customHeight="1">
      <x:c r="A47" s="1"/>
      <x:c r="B47" s="1"/>
      <x:c r="C47" s="1" t="str">
        <x:v>Rent, construction and benefit terms remain subject to quotes.</x:v>
      </x:c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1" customHeight="1">
      <x:c r="A49" s="1"/>
      <x:c r="B49" s="1"/>
      <x:c r="C49" s="14" t="str">
        <x:v>Year 2 profitability thresholds (selected case)</x:v>
      </x:c>
      <x:c r="D49" s="15"/>
      <x:c r="E49" s="15"/>
      <x:c r="F49" s="15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32" customHeight="1">
      <x:c r="A50" s="1"/>
      <x:c r="B50" s="1"/>
      <x:c r="C50" s="16" t="str">
        <x:v>Annual sales for 10% EBITDA margin</x:v>
      </x:c>
      <x:c r="D50" s="4" t="n">
        <x:f>'Monthly'!AA88/('Monthly'!AA90-0.1)*12</x:f>
        <x:v>1496384.8407944378</x:v>
      </x:c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32" customHeight="1">
      <x:c r="A51" s="1"/>
      <x:c r="B51" s="1"/>
      <x:c r="C51" s="16" t="str">
        <x:v>Paid visits/day at that sales level</x:v>
      </x:c>
      <x:c r="D51" s="9" t="n">
        <x:f>D50/(E31*360)</x:f>
        <x:v>218.13826070649841</x:v>
      </x:c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32" customHeight="1">
      <x:c r="A52" s="1"/>
      <x:c r="B52" s="1"/>
      <x:c r="C52" s="16" t="str">
        <x:v>Annual cost reduction for 10% at forecast sales</x:v>
      </x:c>
      <x:c r="D52" s="9" t="n">
        <x:f>MAX(0,E8*0.1-E15)</x:f>
        <x:v>136930.89379699988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1" customHeight="1">
      <x:c r="A54" s="1"/>
      <x:c r="B54" s="1"/>
      <x:c r="C54" s="1" t="str">
        <x:v>Threshold holds selected staffing fixed; add any extra cover before adopting.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</x:sheetData>
  <x:pageMargins left="0.7" right="0.7" top="0.75" bottom="0.75" header="0.3" footer="0.3"/>
  <x:drawing xmlns:r="http://schemas.openxmlformats.org/officeDocument/2006/relationships" r:id="R963a015f3f034cf3"/>
</x:worksheet>
</file>

<file path=xl/worksheets/sheet2.xml><?xml version="1.0" encoding="utf-8"?>
<x:worksheet xmlns:x="http://schemas.openxmlformats.org/spreadsheetml/2006/main">
  <x:sheetPr>
    <x:tabColor rgb="FF2B3D17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85" hidden="0" customWidth="1"/>
    <x:col min="9" max="9" width="9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21" customHeight="1">
      <x:c r="A2" s="1"/>
      <x:c r="B2" s="1"/>
      <x:c r="C2" s="3" t="str">
        <x:v>Forecast assumptions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 ht="21" customHeight="1">
      <x:c r="A3" s="1"/>
      <x:c r="B3" s="1"/>
      <x:c r="C3" s="1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21" customHeight="1">
      <x:c r="A4" s="1"/>
      <x:c r="B4" s="1"/>
      <x:c r="C4" s="1" t="str">
        <x:v>Case selected</x:v>
      </x:c>
      <x:c r="D4" s="5" t="str"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 ht="21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1" customHeight="1">
      <x:c r="A7" s="1"/>
      <x:c r="B7" s="1"/>
      <x:c r="C7" s="23" t="str">
        <x:v>Common drivers</x:v>
      </x:c>
      <x:c r="D7" s="24" t="str">
        <x:v>Year 1</x:v>
      </x:c>
      <x:c r="E7" s="24" t="str">
        <x:v>Year 2</x:v>
      </x:c>
      <x:c r="F7" s="24" t="str">
        <x:v>Year 3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21" customHeight="1">
      <x:c r="A8" s="1"/>
      <x:c r="B8" s="1"/>
      <x:c r="C8" s="1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21" customHeight="1">
      <x:c r="A9" s="1"/>
      <x:c r="B9" s="1"/>
      <x:c r="C9" s="1" t="str">
        <x:v>Trading days per month</x:v>
      </x:c>
      <x:c r="D9" s="6" t="n">
        <x:v>30</x:v>
      </x:c>
      <x:c r="E9" s="6" t="n">
        <x:v>30</x:v>
      </x:c>
      <x:c r="F9" s="6" t="n">
        <x:v>30</x:v>
      </x:c>
      <x:c r="G9" s="2"/>
      <x:c r="H9" s="2" t="str">
        <x:v>Planning convention; 360 days/year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21" customHeight="1">
      <x:c r="A10" s="1"/>
      <x:c r="B10" s="1"/>
      <x:c r="C10" s="1" t="str">
        <x:v>Morning paid visits/day</x:v>
      </x:c>
      <x:c r="D10" s="6" t="n">
        <x:v>100</x:v>
      </x:c>
      <x:c r="E10" s="6" t="n">
        <x:v>100</x:v>
      </x:c>
      <x:c r="F10" s="6" t="n">
        <x:v>100</x:v>
      </x:c>
      <x:c r="G10" s="2"/>
      <x:c r="H10" s="2" t="str">
        <x:v>Management assumption; unvalidated demand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21" customHeight="1">
      <x:c r="A11" s="1"/>
      <x:c r="B11" s="1"/>
      <x:c r="C11" s="1" t="str">
        <x:v>Lunch paid visits/day</x:v>
      </x:c>
      <x:c r="D11" s="6" t="n">
        <x:v>35</x:v>
      </x:c>
      <x:c r="E11" s="6" t="n">
        <x:v>35</x:v>
      </x:c>
      <x:c r="F11" s="6" t="n">
        <x:v>35</x:v>
      </x:c>
      <x:c r="G11" s="2"/>
      <x:c r="H11" s="2" t="str">
        <x:v>Management assumption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21" customHeight="1">
      <x:c r="A12" s="1"/>
      <x:c r="B12" s="1"/>
      <x:c r="C12" s="1" t="str">
        <x:v>Evening paid visits/day</x:v>
      </x:c>
      <x:c r="D12" s="6" t="n">
        <x:v>45</x:v>
      </x:c>
      <x:c r="E12" s="6" t="n">
        <x:v>45</x:v>
      </x:c>
      <x:c r="F12" s="6" t="n">
        <x:v>45</x:v>
      </x:c>
      <x:c r="G12" s="2"/>
      <x:c r="H12" s="2" t="str">
        <x:v>Management assumption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21" customHeight="1">
      <x:c r="A13" s="1"/>
      <x:c r="B13" s="1"/>
      <x:c r="C13" s="1" t="str">
        <x:v>Morning spend, opening-year USD</x:v>
      </x:c>
      <x:c r="D13" s="8" t="n">
        <x:v>9</x:v>
      </x:c>
      <x:c r="E13" s="8" t="n">
        <x:v>9</x:v>
      </x:c>
      <x:c r="F13" s="8" t="n">
        <x:v>9</x:v>
      </x:c>
      <x:c r="G13" s="2"/>
      <x:c r="H13" s="2" t="str">
        <x:v>Supplied persona range; pre-tax and tips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21" customHeight="1">
      <x:c r="A14" s="1"/>
      <x:c r="B14" s="1"/>
      <x:c r="C14" s="1" t="str">
        <x:v>Lunch spend, opening-year USD</x:v>
      </x:c>
      <x:c r="D14" s="8" t="n">
        <x:v>18</x:v>
      </x:c>
      <x:c r="E14" s="8" t="n">
        <x:v>18</x:v>
      </x:c>
      <x:c r="F14" s="8" t="n">
        <x:v>18</x:v>
      </x:c>
      <x:c r="G14" s="2"/>
      <x:c r="H14" s="2" t="str">
        <x:v>Supplied persona range; pre-tax and tips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21" customHeight="1">
      <x:c r="A15" s="1"/>
      <x:c r="B15" s="1"/>
      <x:c r="C15" s="1" t="str">
        <x:v>Evening spend, opening-year USD</x:v>
      </x:c>
      <x:c r="D15" s="8" t="n">
        <x:v>40</x:v>
      </x:c>
      <x:c r="E15" s="8" t="n">
        <x:v>40</x:v>
      </x:c>
      <x:c r="F15" s="8" t="n">
        <x:v>40</x:v>
      </x:c>
      <x:c r="G15" s="2"/>
      <x:c r="H15" s="2" t="str">
        <x:v>Supplied persona range; pre-tax and tips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21" customHeight="1">
      <x:c r="A16" s="1"/>
      <x:c r="B16" s="1"/>
      <x:c r="C16" s="1" t="str">
        <x:v>Annual menu-price increase</x:v>
      </x:c>
      <x:c r="D16" s="7" t="n">
        <x:v>0</x:v>
      </x:c>
      <x:c r="E16" s="7" t="n">
        <x:v>0.03</x:v>
      </x:c>
      <x:c r="F16" s="7" t="n">
        <x:v>0.03</x:v>
      </x:c>
      <x:c r="G16" s="2"/>
      <x:c r="H16" s="2" t="str">
        <x:v>Selected assumption; not measured pricing power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21" customHeight="1">
      <x:c r="A17" s="1"/>
      <x:c r="B17" s="1"/>
      <x:c r="C17" s="1" t="str">
        <x:v>Product purchase-cost inflation</x:v>
      </x:c>
      <x:c r="D17" s="7" t="n">
        <x:v>0</x:v>
      </x:c>
      <x:c r="E17" s="7" t="n">
        <x:v>0.03</x:v>
      </x:c>
      <x:c r="F17" s="7" t="n">
        <x:v>0.03</x:v>
      </x:c>
      <x:c r="G17" s="2"/>
      <x:c r="H17" s="2" t="str">
        <x:v>Selected assumption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21" customHeight="1">
      <x:c r="A18" s="1"/>
      <x:c r="B18" s="1"/>
      <x:c r="C18" s="1" t="str">
        <x:v>Morning product-cost ratio at opening</x:v>
      </x:c>
      <x:c r="D18" s="7" t="n">
        <x:v>0.28</x:v>
      </x:c>
      <x:c r="E18" s="7" t="n">
        <x:v>0.28</x:v>
      </x:c>
      <x:c r="F18" s="7" t="n">
        <x:v>0.28</x:v>
      </x:c>
      <x:c r="G18" s="2"/>
      <x:c r="H18" s="2" t="str">
        <x:v>Recipe/supplier validation required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1" customHeight="1">
      <x:c r="A19" s="1"/>
      <x:c r="B19" s="1"/>
      <x:c r="C19" s="1" t="str">
        <x:v>Lunch product-cost ratio at opening</x:v>
      </x:c>
      <x:c r="D19" s="7" t="n">
        <x:v>0.35</x:v>
      </x:c>
      <x:c r="E19" s="7" t="n">
        <x:v>0.35</x:v>
      </x:c>
      <x:c r="F19" s="7" t="n">
        <x:v>0.35</x:v>
      </x:c>
      <x:c r="G19" s="2"/>
      <x:c r="H19" s="2" t="str">
        <x:v>Recipe/supplier validation required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1" customHeight="1">
      <x:c r="A20" s="1"/>
      <x:c r="B20" s="1"/>
      <x:c r="C20" s="1" t="str">
        <x:v>Evening product-cost ratio at opening</x:v>
      </x:c>
      <x:c r="D20" s="7" t="n">
        <x:v>0.3</x:v>
      </x:c>
      <x:c r="E20" s="7" t="n">
        <x:v>0.3</x:v>
      </x:c>
      <x:c r="F20" s="7" t="n">
        <x:v>0.3</x:v>
      </x:c>
      <x:c r="G20" s="2"/>
      <x:c r="H20" s="2" t="str">
        <x:v>Recipe/supplier validation required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1" customHeight="1">
      <x:c r="A21" s="1"/>
      <x:c r="B21" s="1"/>
      <x:c r="C21" s="1" t="str">
        <x:v>Core hourly floor hours/year</x:v>
      </x:c>
      <x:c r="D21" s="6" t="n">
        <x:v>13200</x:v>
      </x:c>
      <x:c r="E21" s="6" t="n">
        <x:v>13200</x:v>
      </x:c>
      <x:c r="F21" s="6" t="n">
        <x:v>13200</x:v>
      </x:c>
      <x:c r="G21" s="2"/>
      <x:c r="H21" s="2" t="str">
        <x:v>41 daily operating hours x 360 less 1560 GM floor hours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21" customHeight="1">
      <x:c r="A22" s="1"/>
      <x:c r="B22" s="1"/>
      <x:c r="C22" s="1" t="str">
        <x:v>Hourly cash wage at opening</x:v>
      </x:c>
      <x:c r="D22" s="8" t="n">
        <x:v>22.5</x:v>
      </x:c>
      <x:c r="E22" s="8" t="n">
        <x:v>22.5</x:v>
      </x:c>
      <x:c r="F22" s="8" t="n">
        <x:v>22.5</x:v>
      </x:c>
      <x:c r="G22" s="2"/>
      <x:c r="H22" s="2" t="str">
        <x:v>Observed barista recruitment comparator; role mix assumption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1" customHeight="1">
      <x:c r="A23" s="1"/>
      <x:c r="B23" s="1"/>
      <x:c r="C23" s="1" t="str">
        <x:v>GM annual salary at opening</x:v>
      </x:c>
      <x:c r="D23" s="6" t="n">
        <x:v>95000</x:v>
      </x:c>
      <x:c r="E23" s="6" t="n">
        <x:v>95000</x:v>
      </x:c>
      <x:c r="F23" s="6" t="n">
        <x:v>95000</x:v>
      </x:c>
      <x:c r="G23" s="2"/>
      <x:c r="H23" s="2" t="str">
        <x:v>Selected allowance near BLS NYC metro comparator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1" customHeight="1">
      <x:c r="A24" s="1"/>
      <x:c r="B24" s="1"/>
      <x:c r="C24" s="1" t="str">
        <x:v>Annual wage increase</x:v>
      </x:c>
      <x:c r="D24" s="7" t="n">
        <x:v>0</x:v>
      </x:c>
      <x:c r="E24" s="7" t="n">
        <x:v>0.03</x:v>
      </x:c>
      <x:c r="F24" s="7" t="n">
        <x:v>0.03</x:v>
      </x:c>
      <x:c r="G24" s="2"/>
      <x:c r="H24" s="2" t="str">
        <x:v>Selected planning assumption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1" customHeight="1">
      <x:c r="A25" s="1"/>
      <x:c r="B25" s="1"/>
      <x:c r="C25" s="1" t="str">
        <x:v>Hourly leave-cover provision</x:v>
      </x:c>
      <x:c r="D25" s="7" t="n">
        <x:v>0.06</x:v>
      </x:c>
      <x:c r="E25" s="7" t="n">
        <x:v>0.06</x:v>
      </x:c>
      <x:c r="F25" s="7" t="n">
        <x:v>0.06</x:v>
      </x:c>
      <x:c r="G25" s="2"/>
      <x:c r="H25" s="2" t="str">
        <x:v>Extra cost beyond scheduled hours; selected provision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1" customHeight="1">
      <x:c r="A26" s="1"/>
      <x:c r="B26" s="1"/>
      <x:c r="C26" s="1" t="str">
        <x:v>Paid training / scheduled wages</x:v>
      </x:c>
      <x:c r="D26" s="7" t="n">
        <x:v>0.02</x:v>
      </x:c>
      <x:c r="E26" s="7" t="n">
        <x:v>0.02</x:v>
      </x:c>
      <x:c r="F26" s="7" t="n">
        <x:v>0.02</x:v>
      </x:c>
      <x:c r="G26" s="2"/>
      <x:c r="H26" s="2" t="str">
        <x:v>Selected provision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1" customHeight="1">
      <x:c r="A27" s="1"/>
      <x:c r="B27" s="1"/>
      <x:c r="C27" s="1" t="str">
        <x:v>Employer FICA on gross wages</x:v>
      </x:c>
      <x:c r="D27" s="7" t="n">
        <x:v>0.0765</x:v>
      </x:c>
      <x:c r="E27" s="7" t="n">
        <x:v>0.0765</x:v>
      </x:c>
      <x:c r="F27" s="7" t="n">
        <x:v>0.0765</x:v>
      </x:c>
      <x:c r="G27" s="2"/>
      <x:c r="H27" s="2" t="str">
        <x:v>Simplified statutory rate; employee-level tax treatment may differ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1" customHeight="1">
      <x:c r="A28" s="1"/>
      <x:c r="B28" s="1"/>
      <x:c r="C28" s="1" t="str">
        <x:v>UI / workers-comp gross-wage allowance</x:v>
      </x:c>
      <x:c r="D28" s="7" t="n">
        <x:v>0.03</x:v>
      </x:c>
      <x:c r="E28" s="7" t="n">
        <x:v>0.03</x:v>
      </x:c>
      <x:c r="F28" s="7" t="n">
        <x:v>0.03</x:v>
      </x:c>
      <x:c r="G28" s="2"/>
      <x:c r="H28" s="2" t="str">
        <x:v>Provisional combined allowance; not a quoted rate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1" customHeight="1">
      <x:c r="A29" s="1"/>
      <x:c r="B29" s="1"/>
      <x:c r="C29" s="1" t="str">
        <x:v>Employees enrolled in benefits</x:v>
      </x:c>
      <x:c r="D29" s="6" t="n">
        <x:v>8</x:v>
      </x:c>
      <x:c r="E29" s="6" t="n">
        <x:v>8</x:v>
      </x:c>
      <x:c r="F29" s="6" t="n">
        <x:v>8</x:v>
      </x:c>
      <x:c r="G29" s="2"/>
      <x:c r="H29" s="2" t="str">
        <x:v>Including GM; selected assumption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21" customHeight="1">
      <x:c r="A30" s="1"/>
      <x:c r="B30" s="1"/>
      <x:c r="C30" s="1" t="str">
        <x:v>Employer health cost at opening</x:v>
      </x:c>
      <x:c r="D30" s="6" t="n">
        <x:v>7885</x:v>
      </x:c>
      <x:c r="E30" s="6" t="n">
        <x:v>7885</x:v>
      </x:c>
      <x:c r="F30" s="6" t="n">
        <x:v>7885</x:v>
      </x:c>
      <x:c r="G30" s="2"/>
      <x:c r="H30" s="2" t="str">
        <x:v>KFF 2025 national premium less worker contribution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21" customHeight="1">
      <x:c r="A31" s="1"/>
      <x:c r="B31" s="1"/>
      <x:c r="C31" s="1" t="str">
        <x:v>Annual health-cost inflation</x:v>
      </x:c>
      <x:c r="D31" s="7" t="n">
        <x:v>0</x:v>
      </x:c>
      <x:c r="E31" s="7" t="n">
        <x:v>0.06</x:v>
      </x:c>
      <x:c r="F31" s="7" t="n">
        <x:v>0.06</x:v>
      </x:c>
      <x:c r="G31" s="2"/>
      <x:c r="H31" s="2" t="str">
        <x:v>Planning assumption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1" customHeight="1">
      <x:c r="A32" s="1"/>
      <x:c r="B32" s="1"/>
      <x:c r="C32" s="1" t="str">
        <x:v>Dental/vision per employee at opening</x:v>
      </x:c>
      <x:c r="D32" s="6" t="n">
        <x:v>600</x:v>
      </x:c>
      <x:c r="E32" s="6" t="n">
        <x:v>600</x:v>
      </x:c>
      <x:c r="F32" s="6" t="n">
        <x:v>600</x:v>
      </x:c>
      <x:c r="G32" s="2"/>
      <x:c r="H32" s="2" t="str">
        <x:v>Selected allowance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1" customHeight="1">
      <x:c r="A33" s="1"/>
      <x:c r="B33" s="1"/>
      <x:c r="C33" s="1" t="str">
        <x:v>Retirement contribution / gross wages</x:v>
      </x:c>
      <x:c r="D33" s="7" t="n">
        <x:v>0.02</x:v>
      </x:c>
      <x:c r="E33" s="7" t="n">
        <x:v>0.02</x:v>
      </x:c>
      <x:c r="F33" s="7" t="n">
        <x:v>0.02</x:v>
      </x:c>
      <x:c r="G33" s="2"/>
      <x:c r="H33" s="2" t="str">
        <x:v>Selected employer-funded policy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1" customHeight="1">
      <x:c r="A34" s="1"/>
      <x:c r="B34" s="1"/>
      <x:c r="C34" s="1" t="str">
        <x:v>Incentive provision / gross wages</x:v>
      </x:c>
      <x:c r="D34" s="7" t="n">
        <x:v>0.01</x:v>
      </x:c>
      <x:c r="E34" s="7" t="n">
        <x:v>0.01</x:v>
      </x:c>
      <x:c r="F34" s="7" t="n">
        <x:v>0.01</x:v>
      </x:c>
      <x:c r="G34" s="2"/>
      <x:c r="H34" s="2" t="str">
        <x:v>Budgeted provision independent of store profits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1" customHeight="1">
      <x:c r="A35" s="1"/>
      <x:c r="B35" s="1"/>
      <x:c r="C35" s="1" t="str">
        <x:v>Annual base rent at opening</x:v>
      </x:c>
      <x:c r="D35" s="6" t="n">
        <x:v>120000</x:v>
      </x:c>
      <x:c r="E35" s="6" t="n">
        <x:v>120000</x:v>
      </x:c>
      <x:c r="F35" s="6" t="n">
        <x:v>120000</x:v>
      </x:c>
      <x:c r="G35" s="2"/>
      <x:c r="H35" s="2" t="str">
        <x:v>Target anchored to marketed small restaurant; not negotiated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1" customHeight="1">
      <x:c r="A36" s="1"/>
      <x:c r="B36" s="1"/>
      <x:c r="C36" s="1" t="str">
        <x:v>Other occupancy at opening</x:v>
      </x:c>
      <x:c r="D36" s="6" t="n">
        <x:v>24000</x:v>
      </x:c>
      <x:c r="E36" s="6" t="n">
        <x:v>24000</x:v>
      </x:c>
      <x:c r="F36" s="6" t="n">
        <x:v>24000</x:v>
      </x:c>
      <x:c r="G36" s="2"/>
      <x:c r="H36" s="2" t="str">
        <x:v>Unquoted lease-charge allowance; excludes utilities/insurance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21" customHeight="1">
      <x:c r="A37" s="1"/>
      <x:c r="B37" s="1"/>
      <x:c r="C37" s="1" t="str">
        <x:v>Other fixed opex at opening</x:v>
      </x:c>
      <x:c r="D37" s="9" t="n">
        <x:f>SUM(D97:D104)</x:f>
        <x:v>72000</x:v>
      </x:c>
      <x:c r="E37" s="9" t="n">
        <x:f>SUM(E97:E104)</x:f>
        <x:v>72000</x:v>
      </x:c>
      <x:c r="F37" s="9" t="n">
        <x:f>SUM(F97:F104)</x:f>
        <x:v>72000</x:v>
      </x:c>
      <x:c r="G37" s="2"/>
      <x:c r="H37" s="2" t="str">
        <x:v>Itemised prior report; quotes outstanding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1" customHeight="1">
      <x:c r="A38" s="1"/>
      <x:c r="B38" s="1"/>
      <x:c r="C38" s="1" t="str">
        <x:v>Annual fixed-cost escalation</x:v>
      </x:c>
      <x:c r="D38" s="7" t="n">
        <x:v>0</x:v>
      </x:c>
      <x:c r="E38" s="7" t="n">
        <x:v>0.03</x:v>
      </x:c>
      <x:c r="F38" s="7" t="n">
        <x:v>0.03</x:v>
      </x:c>
      <x:c r="G38" s="2"/>
      <x:c r="H38" s="2" t="str">
        <x:v>Planning escalation, not agreed lease terms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1" customHeight="1">
      <x:c r="A39" s="1"/>
      <x:c r="B39" s="1"/>
      <x:c r="C39" s="1" t="str">
        <x:v>Card share</x:v>
      </x:c>
      <x:c r="D39" s="7" t="n">
        <x:v>0.9</x:v>
      </x:c>
      <x:c r="E39" s="7" t="n">
        <x:v>0.9</x:v>
      </x:c>
      <x:c r="F39" s="7" t="n">
        <x:v>0.9</x:v>
      </x:c>
      <x:c r="G39" s="2"/>
      <x:c r="H39" s="2" t="str">
        <x:v>Selected assumption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1" customHeight="1">
      <x:c r="A40" s="1"/>
      <x:c r="B40" s="1"/>
      <x:c r="C40" s="1" t="str">
        <x:v>Card percentage fee</x:v>
      </x:c>
      <x:c r="D40" s="7" t="n">
        <x:v>0.026</x:v>
      </x:c>
      <x:c r="E40" s="7" t="n">
        <x:v>0.026</x:v>
      </x:c>
      <x:c r="F40" s="7" t="n">
        <x:v>0.026</x:v>
      </x:c>
      <x:c r="G40" s="2"/>
      <x:c r="H40" s="2" t="str">
        <x:v>One published Square card-present plan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1" customHeight="1">
      <x:c r="A41" s="1"/>
      <x:c r="B41" s="1"/>
      <x:c r="C41" s="1" t="str">
        <x:v>Card fixed fee/payment</x:v>
      </x:c>
      <x:c r="D41" s="8" t="n">
        <x:v>0.15</x:v>
      </x:c>
      <x:c r="E41" s="8" t="n">
        <x:v>0.15</x:v>
      </x:c>
      <x:c r="F41" s="8" t="n">
        <x:v>0.15</x:v>
      </x:c>
      <x:c r="G41" s="2"/>
      <x:c r="H41" s="2" t="str">
        <x:v>One payment per paid visit, conservative grouping assumption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1" customHeight="1">
      <x:c r="A42" s="1"/>
      <x:c r="B42" s="1"/>
      <x:c r="C42" s="1" t="str">
        <x:v>Taxable sales tax rate</x:v>
      </x:c>
      <x:c r="D42" s="7" t="n">
        <x:v>0.08875</x:v>
      </x:c>
      <x:c r="E42" s="7" t="n">
        <x:v>0.08875</x:v>
      </x:c>
      <x:c r="F42" s="7" t="n">
        <x:v>0.08875</x:v>
      </x:c>
      <x:c r="G42" s="2"/>
      <x:c r="H42" s="2" t="str">
        <x:v>NYC restaurant tax assumption; all sales treated taxable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1" customHeight="1">
      <x:c r="A43" s="1"/>
      <x:c r="B43" s="1"/>
      <x:c r="C43" s="1" t="str">
        <x:v>Customer tips / sales</x:v>
      </x:c>
      <x:c r="D43" s="7" t="n">
        <x:v>0.1</x:v>
      </x:c>
      <x:c r="E43" s="7" t="n">
        <x:v>0.1</x:v>
      </x:c>
      <x:c r="F43" s="7" t="n">
        <x:v>0.1</x:v>
      </x:c>
      <x:c r="G43" s="2"/>
      <x:c r="H43" s="2" t="str">
        <x:v>Assumed blended voluntary tips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1" customHeight="1">
      <x:c r="A44" s="1"/>
      <x:c r="B44" s="1"/>
      <x:c r="C44" s="1" t="str">
        <x:v>Marketing / net sales</x:v>
      </x:c>
      <x:c r="D44" s="7" t="n">
        <x:v>0.02</x:v>
      </x:c>
      <x:c r="E44" s="7" t="n">
        <x:v>0.02</x:v>
      </x:c>
      <x:c r="F44" s="7" t="n">
        <x:v>0.02</x:v>
      </x:c>
      <x:c r="G44" s="2"/>
      <x:c r="H44" s="2" t="str">
        <x:v>Cash spend; discounts already reduce realised selling price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1" customHeight="1">
      <x:c r="A45" s="1"/>
      <x:c r="B45" s="1"/>
      <x:c r="C45" s="1" t="str">
        <x:v>Consumables / net sales</x:v>
      </x:c>
      <x:c r="D45" s="7" t="n">
        <x:v>0.01</x:v>
      </x:c>
      <x:c r="E45" s="7" t="n">
        <x:v>0.01</x:v>
      </x:c>
      <x:c r="F45" s="7" t="n">
        <x:v>0.01</x:v>
      </x:c>
      <x:c r="G45" s="2"/>
      <x:c r="H45" s="2" t="str">
        <x:v>Selected assumption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1" customHeight="1">
      <x:c r="A46" s="1"/>
      <x:c r="B46" s="1"/>
      <x:c r="C46" s="1" t="str">
        <x:v>Maintenance capex / sales</x:v>
      </x:c>
      <x:c r="D46" s="7" t="n">
        <x:v>0.01</x:v>
      </x:c>
      <x:c r="E46" s="7" t="n">
        <x:v>0.01</x:v>
      </x:c>
      <x:c r="F46" s="7" t="n">
        <x:v>0.01</x:v>
      </x:c>
      <x:c r="G46" s="2"/>
      <x:c r="H46" s="2" t="str">
        <x:v>Selected recurring cash allowance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1" customHeight="1">
      <x:c r="A47" s="1"/>
      <x:c r="B47" s="1"/>
      <x:c r="C47" s="1" t="str">
        <x:v>Inventory days</x:v>
      </x:c>
      <x:c r="D47" s="6" t="n">
        <x:v>21</x:v>
      </x:c>
      <x:c r="E47" s="6" t="n">
        <x:v>21</x:v>
      </x:c>
      <x:c r="F47" s="6" t="n">
        <x:v>21</x:v>
      </x:c>
      <x:c r="G47" s="2"/>
      <x:c r="H47" s="2" t="str">
        <x:v>Planning assumption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1" customHeight="1">
      <x:c r="A48" s="1"/>
      <x:c r="B48" s="1"/>
      <x:c r="C48" s="1" t="str">
        <x:v>Minimum stock at opening cost</x:v>
      </x:c>
      <x:c r="D48" s="6" t="n">
        <x:v>20000</x:v>
      </x:c>
      <x:c r="E48" s="6" t="n">
        <x:v>20000</x:v>
      </x:c>
      <x:c r="F48" s="6" t="n">
        <x:v>20000</x:v>
      </x:c>
      <x:c r="G48" s="2"/>
      <x:c r="H48" s="2" t="str">
        <x:v>Opening stock is an asset, not upfront COGS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1" customHeight="1">
      <x:c r="A49" s="1"/>
      <x:c r="B49" s="1"/>
      <x:c r="C49" s="1" t="str">
        <x:v>Supplier credit days</x:v>
      </x:c>
      <x:c r="D49" s="6" t="n">
        <x:v>7</x:v>
      </x:c>
      <x:c r="E49" s="6" t="n">
        <x:v>7</x:v>
      </x:c>
      <x:c r="F49" s="6" t="n">
        <x:v>7</x:v>
      </x:c>
      <x:c r="G49" s="2"/>
      <x:c r="H49" s="2" t="str">
        <x:v>Unconfirmed; change to zero if suppliers require cash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21" customHeight="1">
      <x:c r="A50" s="1"/>
      <x:c r="B50" s="1"/>
      <x:c r="C50" s="1" t="str">
        <x:v>Card settlement days</x:v>
      </x:c>
      <x:c r="D50" s="6" t="n">
        <x:v>2</x:v>
      </x:c>
      <x:c r="E50" s="6" t="n">
        <x:v>2</x:v>
      </x:c>
      <x:c r="F50" s="6" t="n">
        <x:v>2</x:v>
      </x:c>
      <x:c r="G50" s="2"/>
      <x:c r="H50" s="2" t="str">
        <x:v>Unconfirmed net-sales settlement assumption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1" customHeight="1">
      <x:c r="A51" s="1"/>
      <x:c r="B51" s="1"/>
      <x:c r="C51" s="1" t="str">
        <x:v>Tax provision / positive monthly EBIT</x:v>
      </x:c>
      <x:c r="D51" s="7" t="n">
        <x:v>0.3</x:v>
      </x:c>
      <x:c r="E51" s="7" t="n">
        <x:v>0.3</x:v>
      </x:c>
      <x:c r="F51" s="7" t="n">
        <x:v>0.3</x:v>
      </x:c>
      <x:c r="G51" s="2"/>
      <x:c r="H51" s="2" t="str">
        <x:v>Conservative planning rate, not entity-specific advice; no loss credits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21" customHeight="1">
      <x:c r="A52" s="1"/>
      <x:c r="B52" s="1"/>
      <x:c r="C52" s="1" t="str">
        <x:v>Building share of initial capex</x:v>
      </x:c>
      <x:c r="D52" s="7" t="n">
        <x:v>0.7</x:v>
      </x:c>
      <x:c r="E52" s="7" t="n">
        <x:v>0.7</x:v>
      </x:c>
      <x:c r="F52" s="7" t="n">
        <x:v>0.7</x:v>
      </x:c>
      <x:c r="G52" s="2"/>
      <x:c r="H52" s="2" t="str">
        <x:v>Planning split, not tax asset classification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1" customHeight="1">
      <x:c r="A53" s="1"/>
      <x:c r="B53" s="1"/>
      <x:c r="C53" s="1" t="str">
        <x:v>Building depreciation months</x:v>
      </x:c>
      <x:c r="D53" s="6" t="n">
        <x:v>120</x:v>
      </x:c>
      <x:c r="E53" s="6" t="n">
        <x:v>120</x:v>
      </x:c>
      <x:c r="F53" s="6" t="n">
        <x:v>120</x:v>
      </x:c>
      <x:c r="G53" s="2"/>
      <x:c r="H53" s="2" t="str">
        <x:v>Book assumption; zero residual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1" customHeight="1">
      <x:c r="A54" s="1"/>
      <x:c r="B54" s="1"/>
      <x:c r="C54" s="1" t="str">
        <x:v>Equipment depreciation months</x:v>
      </x:c>
      <x:c r="D54" s="6" t="n">
        <x:v>60</x:v>
      </x:c>
      <x:c r="E54" s="6" t="n">
        <x:v>60</x:v>
      </x:c>
      <x:c r="F54" s="6" t="n">
        <x:v>60</x:v>
      </x:c>
      <x:c r="G54" s="2"/>
      <x:c r="H54" s="2" t="str">
        <x:v>Book assumption; zero residual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1" customHeight="1">
      <x:c r="A55" s="1"/>
      <x:c r="B55" s="1"/>
      <x:c r="C55" s="1" t="str">
        <x:v>Maintenance depreciation months</x:v>
      </x:c>
      <x:c r="D55" s="6" t="n">
        <x:v>60</x:v>
      </x:c>
      <x:c r="E55" s="6" t="n">
        <x:v>60</x:v>
      </x:c>
      <x:c r="F55" s="6" t="n">
        <x:v>60</x:v>
      </x:c>
      <x:c r="G55" s="2"/>
      <x:c r="H55" s="2" t="str">
        <x:v>Book assumption; half month on additions</x:v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1" customHeight="1">
      <x:c r="A56" s="1"/>
      <x:c r="B56" s="1"/>
      <x:c r="C56" s="1" t="str">
        <x:v>Equity funding before opening</x:v>
      </x:c>
      <x:c r="D56" s="6" t="n">
        <x:v>1100000</x:v>
      </x:c>
      <x:c r="E56" s="6" t="n">
        <x:v>1100000</x:v>
      </x:c>
      <x:c r="F56" s="6" t="n">
        <x:v>1100000</x:v>
      </x:c>
      <x:c r="G56" s="2"/>
      <x:c r="H56" s="2" t="str">
        <x:v>Selected all-equity illustration; no valuation implied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1" customHeight="1">
      <x:c r="A57" s="1"/>
      <x:c r="B57" s="1"/>
      <x:c r="C57" s="1" t="str">
        <x:v>Minimum cash policy: fixed-cost months</x:v>
      </x:c>
      <x:c r="D57" s="6" t="n">
        <x:v>3</x:v>
      </x:c>
      <x:c r="E57" s="6" t="n">
        <x:v>3</x:v>
      </x:c>
      <x:c r="F57" s="6" t="n">
        <x:v>3</x:v>
      </x:c>
      <x:c r="G57" s="2"/>
      <x:c r="H57" s="2" t="str">
        <x:v>Management liquidity policy, not a runway claim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1" customHeight="1">
      <x:c r="A61" s="1"/>
      <x:c r="B61" s="1"/>
      <x:c r="C61" s="10" t="str">
        <x:v>Paid-visit multiplier — active</x:v>
      </x:c>
      <x:c r="D61" s="11" t="n">
        <x:f>IF($D$4="Base",D62,IF($D$4="Downside",D63,D64))</x:f>
        <x:v>1</x:v>
      </x:c>
      <x:c r="E61" s="11" t="n">
        <x:f>IF($D$4="Base",E62,IF($D$4="Downside",E63,E64))</x:f>
        <x:v>1</x:v>
      </x:c>
      <x:c r="F61" s="11" t="n">
        <x:f>IF($D$4="Base",F62,IF($D$4="Downside",F63,F64))</x:f>
        <x:v>1</x:v>
      </x:c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1" customHeight="1">
      <x:c r="A62" s="1"/>
      <x:c r="B62" s="1"/>
      <x:c r="C62" s="1" t="str">
        <x:v>Base</x:v>
      </x:c>
      <x:c r="D62" s="6" t="n">
        <x:v>1</x:v>
      </x:c>
      <x:c r="E62" s="6" t="n">
        <x:v>1</x:v>
      </x:c>
      <x:c r="F62" s="6" t="n">
        <x:v>1</x:v>
      </x:c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1" customHeight="1">
      <x:c r="A63" s="1"/>
      <x:c r="B63" s="1"/>
      <x:c r="C63" s="1" t="str">
        <x:v>Downside</x:v>
      </x:c>
      <x:c r="D63" s="6" t="n">
        <x:v>0.8</x:v>
      </x:c>
      <x:c r="E63" s="6" t="n">
        <x:v>0.8</x:v>
      </x:c>
      <x:c r="F63" s="6" t="n">
        <x:v>0.8</x:v>
      </x:c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1" customHeight="1">
      <x:c r="A64" s="1"/>
      <x:c r="B64" s="1"/>
      <x:c r="C64" s="1" t="str">
        <x:v>Upside</x:v>
      </x:c>
      <x:c r="D64" s="6" t="n">
        <x:v>1.2</x:v>
      </x:c>
      <x:c r="E64" s="6" t="n">
        <x:v>1.2</x:v>
      </x:c>
      <x:c r="F64" s="6" t="n">
        <x:v>1.2</x:v>
      </x:c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1" customHeight="1">
      <x:c r="A66" s="1"/>
      <x:c r="B66" s="1"/>
      <x:c r="C66" s="10" t="str">
        <x:v>Extra hourly cover/day — active</x:v>
      </x:c>
      <x:c r="D66" s="11" t="n">
        <x:f>IF($D$4="Base",D67,IF($D$4="Downside",D68,D69))</x:f>
        <x:v>0</x:v>
      </x:c>
      <x:c r="E66" s="11" t="n">
        <x:f>IF($D$4="Base",E67,IF($D$4="Downside",E68,E69))</x:f>
        <x:v>0</x:v>
      </x:c>
      <x:c r="F66" s="11" t="n">
        <x:f>IF($D$4="Base",F67,IF($D$4="Downside",F68,F69))</x:f>
        <x:v>0</x:v>
      </x:c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1" t="str">
        <x:v>Base</x:v>
      </x:c>
      <x:c r="D67" s="6" t="n">
        <x:v>0</x:v>
      </x:c>
      <x:c r="E67" s="6" t="n">
        <x:v>0</x:v>
      </x:c>
      <x:c r="F67" s="6" t="n">
        <x:v>0</x:v>
      </x:c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1" customHeight="1">
      <x:c r="A68" s="1"/>
      <x:c r="B68" s="1"/>
      <x:c r="C68" s="1" t="str">
        <x:v>Downside</x:v>
      </x:c>
      <x:c r="D68" s="6" t="n">
        <x:v>0</x:v>
      </x:c>
      <x:c r="E68" s="6" t="n">
        <x:v>0</x:v>
      </x:c>
      <x:c r="F68" s="6" t="n">
        <x:v>0</x:v>
      </x:c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1" customHeight="1">
      <x:c r="A69" s="1"/>
      <x:c r="B69" s="1"/>
      <x:c r="C69" s="1" t="str">
        <x:v>Upside</x:v>
      </x:c>
      <x:c r="D69" s="6" t="n">
        <x:v>2</x:v>
      </x:c>
      <x:c r="E69" s="6" t="n">
        <x:v>2</x:v>
      </x:c>
      <x:c r="F69" s="6" t="n">
        <x:v>2</x:v>
      </x:c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21" customHeight="1">
      <x:c r="A71" s="1"/>
      <x:c r="B71" s="1"/>
      <x:c r="C71" s="10" t="str">
        <x:v>Initial capex multiplier — active</x:v>
      </x:c>
      <x:c r="D71" s="11" t="n">
        <x:f>IF($D$4="Base",D72,IF($D$4="Downside",D73,D74))</x:f>
        <x:v>1</x:v>
      </x:c>
      <x:c r="E71" s="11" t="n">
        <x:f>IF($D$4="Base",E72,IF($D$4="Downside",E73,E74))</x:f>
        <x:v>1</x:v>
      </x:c>
      <x:c r="F71" s="11" t="n">
        <x:f>IF($D$4="Base",F72,IF($D$4="Downside",F73,F74))</x:f>
        <x:v>1</x:v>
      </x:c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1" customHeight="1">
      <x:c r="A72" s="1"/>
      <x:c r="B72" s="1"/>
      <x:c r="C72" s="1" t="str">
        <x:v>Base</x:v>
      </x:c>
      <x:c r="D72" s="6" t="n">
        <x:v>1</x:v>
      </x:c>
      <x:c r="E72" s="6" t="n">
        <x:v>1</x:v>
      </x:c>
      <x:c r="F72" s="6" t="n">
        <x:v>1</x:v>
      </x:c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1" customHeight="1">
      <x:c r="A73" s="1"/>
      <x:c r="B73" s="1"/>
      <x:c r="C73" s="1" t="str">
        <x:v>Downside</x:v>
      </x:c>
      <x:c r="D73" s="6" t="n">
        <x:v>1.2</x:v>
      </x:c>
      <x:c r="E73" s="6" t="n">
        <x:v>1.2</x:v>
      </x:c>
      <x:c r="F73" s="6" t="n">
        <x:v>1.2</x:v>
      </x:c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1" customHeight="1">
      <x:c r="A74" s="1"/>
      <x:c r="B74" s="1"/>
      <x:c r="C74" s="1" t="str">
        <x:v>Upside</x:v>
      </x:c>
      <x:c r="D74" s="6" t="n">
        <x:v>1</x:v>
      </x:c>
      <x:c r="E74" s="6" t="n">
        <x:v>1</x:v>
      </x:c>
      <x:c r="F74" s="6" t="n">
        <x:v>1</x:v>
      </x:c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1" customHeight="1">
      <x:c r="A77" s="1"/>
      <x:c r="B77" s="1"/>
      <x:c r="C77" s="1" t="str">
        <x:v>Opening sales ramp</x:v>
      </x:c>
      <x:c r="D77" s="2"/>
      <x:c r="E77" s="2"/>
      <x:c r="F77" s="2"/>
      <x:c r="G77" s="2"/>
      <x:c r="H77" s="2" t="str">
        <x:v>Month 1-12. Neutral calendar seasonality; no opening date assumed.</x:v>
      </x:c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1" customHeight="1">
      <x:c r="A78" s="1"/>
      <x:c r="B78" s="1"/>
      <x:c r="C78" s="1"/>
      <x:c r="D78" s="2" t="n">
        <x:v>1</x:v>
      </x:c>
      <x:c r="E78" s="2" t="n">
        <x:v>2</x:v>
      </x:c>
      <x:c r="F78" s="2" t="n">
        <x:v>3</x:v>
      </x:c>
      <x:c r="G78" s="2" t="n">
        <x:v>4</x:v>
      </x:c>
      <x:c r="H78" s="2" t="n">
        <x:v>5</x:v>
      </x:c>
      <x:c r="I78" s="2" t="n">
        <x:v>6</x:v>
      </x:c>
      <x:c r="J78" s="2" t="n">
        <x:v>7</x:v>
      </x:c>
      <x:c r="K78" s="2" t="n">
        <x:v>8</x:v>
      </x:c>
      <x:c r="L78" s="2" t="n">
        <x:v>9</x:v>
      </x:c>
      <x:c r="M78" s="2" t="n">
        <x:v>10</x:v>
      </x:c>
      <x:c r="N78" s="2" t="n">
        <x:v>11</x:v>
      </x:c>
      <x:c r="O78" s="2" t="n">
        <x:v>12</x:v>
      </x:c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1" customHeight="1">
      <x:c r="A79" s="1"/>
      <x:c r="B79" s="1"/>
      <x:c r="C79" s="1"/>
      <x:c r="D79" s="13" t="n">
        <x:v>0.5</x:v>
      </x:c>
      <x:c r="E79" s="13" t="n">
        <x:v>0.6</x:v>
      </x:c>
      <x:c r="F79" s="13" t="n">
        <x:v>0.7</x:v>
      </x:c>
      <x:c r="G79" s="13" t="n">
        <x:v>0.75</x:v>
      </x:c>
      <x:c r="H79" s="13" t="n">
        <x:v>0.8</x:v>
      </x:c>
      <x:c r="I79" s="13" t="n">
        <x:v>0.85</x:v>
      </x:c>
      <x:c r="J79" s="13" t="n">
        <x:v>0.9</x:v>
      </x:c>
      <x:c r="K79" s="13" t="n">
        <x:v>0.95</x:v>
      </x:c>
      <x:c r="L79" s="13" t="n">
        <x:v>1</x:v>
      </x:c>
      <x:c r="M79" s="13" t="n">
        <x:v>1</x:v>
      </x:c>
      <x:c r="N79" s="13" t="n">
        <x:v>1</x:v>
      </x:c>
      <x:c r="O79" s="13" t="n">
        <x:v>1</x:v>
      </x:c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 t="str">
        <x:v>Wages</x:v>
      </x:c>
      <x:c r="I83" s="2" t="str">
        <x:v>https://elorea.com/pages/barista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 t="str">
        <x:v>Health</x:v>
      </x:c>
      <x:c r="I84" s="2" t="str">
        <x:v>https://www.kff.org/health-costs/2025-employer-health-benefits-survey/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 t="str">
        <x:v>Tax rates</x:v>
      </x:c>
      <x:c r="I85" s="2" t="str">
        <x:v>https://www.irs.gov/publications/p15</x:v>
      </x:c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 t="str">
        <x:v>NYC tax</x:v>
      </x:c>
      <x:c r="I86" s="2" t="str">
        <x:v>https://www.nyc.gov/site/finance/business/business-nys-sales-tax.page</x:v>
      </x:c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 t="str">
        <x:v>Rent asking evidence (24 Sep 2026 landlord sheet)</x:v>
      </x:c>
      <x:c r="I87" s="2" t="str">
        <x:v>https://centpropny.com/doc.cfm?docFileName=retail_hotsheet&amp;id=28</x:v>
      </x:c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 t="str">
        <x:v>Construction benchmark, not quote</x:v>
      </x:c>
      <x:c r="I88" s="2" t="str">
        <x:v>https://www.alphacontractorsny.com/guides/commercial-build-out-cost-nyc</x:v>
      </x:c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 t="str">
        <x:v>Payments</x:v>
      </x:c>
      <x:c r="I89" s="2" t="str">
        <x:v>https://squareup.com/us/en/payments/our-fees</x:v>
      </x:c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 t="str">
        <x:v>Protected leave</x:v>
      </x:c>
      <x:c r="I90" s="2" t="str">
        <x:v>https://www.nyc.gov/site/dca/about/paid-sick-leave-FAQs.page</x:v>
      </x:c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 t="str">
        <x:v>Source documents: Plaisir Bible; target; promotions; USP; expansion PDFs supplied 27 Oct 2026.</x:v>
      </x:c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 t="str">
        <x:v>Forecast issued 27 Oct 2026. Source claims are not actual Plaisir trading performance.</x:v>
      </x:c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 t="str">
        <x:v>Utilities</x:v>
      </x:c>
      <x:c r="D97" s="6" t="n">
        <x:v>18000</x:v>
      </x:c>
      <x:c r="E97" s="6" t="n">
        <x:v>18000</x:v>
      </x:c>
      <x:c r="F97" s="6" t="n">
        <x:v>18000</x:v>
      </x:c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 t="str">
        <x:v>Insurance</x:v>
      </x:c>
      <x:c r="D98" s="6" t="n">
        <x:v>12000</x:v>
      </x:c>
      <x:c r="E98" s="6" t="n">
        <x:v>12000</x:v>
      </x:c>
      <x:c r="F98" s="6" t="n">
        <x:v>12000</x:v>
      </x:c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 t="str">
        <x:v>Software</x:v>
      </x:c>
      <x:c r="D99" s="6" t="n">
        <x:v>6000</x:v>
      </x:c>
      <x:c r="E99" s="6" t="n">
        <x:v>6000</x:v>
      </x:c>
      <x:c r="F99" s="6" t="n">
        <x:v>6000</x:v>
      </x:c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 t="str">
        <x:v>Accounting / legal</x:v>
      </x:c>
      <x:c r="D100" s="6" t="n">
        <x:v>6000</x:v>
      </x:c>
      <x:c r="E100" s="6" t="n">
        <x:v>6000</x:v>
      </x:c>
      <x:c r="F100" s="6" t="n">
        <x:v>6000</x:v>
      </x:c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 t="str">
        <x:v>Repairs</x:v>
      </x:c>
      <x:c r="D101" s="6" t="n">
        <x:v>9000</x:v>
      </x:c>
      <x:c r="E101" s="6" t="n">
        <x:v>9000</x:v>
      </x:c>
      <x:c r="F101" s="6" t="n">
        <x:v>9000</x:v>
      </x:c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 t="str">
        <x:v>Waste / pest / laundry</x:v>
      </x:c>
      <x:c r="D102" s="6" t="n">
        <x:v>12000</x:v>
      </x:c>
      <x:c r="E102" s="6" t="n">
        <x:v>12000</x:v>
      </x:c>
      <x:c r="F102" s="6" t="n">
        <x:v>12000</x:v>
      </x:c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 t="str">
        <x:v>Music / annual permits</x:v>
      </x:c>
      <x:c r="D103" s="6" t="n">
        <x:v>3000</x:v>
      </x:c>
      <x:c r="E103" s="6" t="n">
        <x:v>3000</x:v>
      </x:c>
      <x:c r="F103" s="6" t="n">
        <x:v>3000</x:v>
      </x:c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 t="str">
        <x:v>Miscellaneous</x:v>
      </x:c>
      <x:c r="D104" s="6" t="n">
        <x:v>6000</x:v>
      </x:c>
      <x:c r="E104" s="6" t="n">
        <x:v>6000</x:v>
      </x:c>
      <x:c r="F104" s="6" t="n">
        <x:v>6000</x:v>
      </x:c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</x:sheetData>
  <x:dataValidations count="1">
    <x:dataValidation type="list" sqref="D4">
      <x:formula1>"Base,Downside,Upside"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B3D17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21" customHeight="1">
      <x:c r="A2" s="1"/>
      <x:c r="B2" s="1"/>
      <x:c r="C2" s="3" t="str">
        <x:v>Monthly financial forecast (USD)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 ht="21" customHeight="1">
      <x:c r="A3" s="1"/>
      <x:c r="B3" s="1"/>
      <x:c r="C3" s="1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21" customHeight="1">
      <x:c r="A4" s="1"/>
      <x:c r="B4" s="1"/>
      <x:c r="C4" s="1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21" customHeight="1">
      <x:c r="A5" s="1"/>
      <x:c r="B5" s="1"/>
      <x:c r="C5" s="1" t="str">
        <x:v>36 trading months; opening date not yet fixed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 ht="21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1" customHeight="1">
      <x:c r="A7" s="1"/>
      <x:c r="B7" s="1"/>
      <x:c r="C7" s="23" t="str">
        <x:v>Trading month</x:v>
      </x:c>
      <x:c r="D7" s="24" t="n">
        <x:v>1</x:v>
      </x:c>
      <x:c r="E7" s="24" t="n">
        <x:v>2</x:v>
      </x:c>
      <x:c r="F7" s="24" t="n">
        <x:v>3</x:v>
      </x:c>
      <x:c r="G7" s="2" t="n">
        <x:v>4</x:v>
      </x:c>
      <x:c r="H7" s="2" t="n">
        <x:v>5</x:v>
      </x:c>
      <x:c r="I7" s="2" t="n">
        <x:v>6</x:v>
      </x:c>
      <x:c r="J7" s="2" t="n">
        <x:v>7</x:v>
      </x:c>
      <x:c r="K7" s="2" t="n">
        <x:v>8</x:v>
      </x:c>
      <x:c r="L7" s="2" t="n">
        <x:v>9</x:v>
      </x:c>
      <x:c r="M7" s="2" t="n">
        <x:v>10</x:v>
      </x:c>
      <x:c r="N7" s="2" t="n">
        <x:v>11</x:v>
      </x:c>
      <x:c r="O7" s="2" t="n">
        <x:v>12</x:v>
      </x:c>
      <x:c r="P7" s="2" t="n">
        <x:v>13</x:v>
      </x:c>
      <x:c r="Q7" s="2" t="n">
        <x:v>14</x:v>
      </x:c>
      <x:c r="R7" s="2" t="n">
        <x:v>15</x:v>
      </x:c>
      <x:c r="S7" s="2" t="n">
        <x:v>16</x:v>
      </x:c>
      <x:c r="T7" s="2" t="n">
        <x:v>17</x:v>
      </x:c>
      <x:c r="U7" s="2" t="n">
        <x:v>18</x:v>
      </x:c>
      <x:c r="V7" s="2" t="n">
        <x:v>19</x:v>
      </x:c>
      <x:c r="W7" s="2" t="n">
        <x:v>20</x:v>
      </x:c>
      <x:c r="X7" s="2" t="n">
        <x:v>21</x:v>
      </x:c>
      <x:c r="Y7" s="2" t="n">
        <x:v>22</x:v>
      </x:c>
      <x:c r="Z7" s="2" t="n">
        <x:v>23</x:v>
      </x:c>
      <x:c r="AA7" s="2" t="n">
        <x:v>24</x:v>
      </x:c>
      <x:c r="AB7" s="2" t="n">
        <x:v>25</x:v>
      </x:c>
      <x:c r="AC7" s="2" t="n">
        <x:v>26</x:v>
      </x:c>
      <x:c r="AD7" s="2" t="n">
        <x:v>27</x:v>
      </x:c>
      <x:c r="AE7" s="2" t="n">
        <x:v>28</x:v>
      </x:c>
      <x:c r="AF7" s="2" t="n">
        <x:v>29</x:v>
      </x:c>
      <x:c r="AG7" s="2" t="n">
        <x:v>30</x:v>
      </x:c>
      <x:c r="AH7" s="2" t="n">
        <x:v>31</x:v>
      </x:c>
      <x:c r="AI7" s="2" t="n">
        <x:v>32</x:v>
      </x:c>
      <x:c r="AJ7" s="2" t="n">
        <x:v>33</x:v>
      </x:c>
      <x:c r="AK7" s="2" t="n">
        <x:v>34</x:v>
      </x:c>
      <x:c r="AL7" s="2" t="n">
        <x:v>35</x:v>
      </x:c>
      <x:c r="AM7" s="2" t="n">
        <x:v>36</x:v>
      </x:c>
      <x:c r="AN7" s="2"/>
    </x:row>
    <x:row r="8" ht="21" customHeight="1">
      <x:c r="A8" s="1"/>
      <x:c r="B8" s="1"/>
      <x:c r="C8" s="1" t="str">
        <x:v>Trading year</x:v>
      </x:c>
      <x:c r="D8" s="2" t="n">
        <x:v>1</x:v>
      </x:c>
      <x:c r="E8" s="2" t="n">
        <x:v>1</x:v>
      </x:c>
      <x:c r="F8" s="2" t="n">
        <x:v>1</x:v>
      </x:c>
      <x:c r="G8" s="2" t="n">
        <x:v>1</x:v>
      </x:c>
      <x:c r="H8" s="2" t="n">
        <x:v>1</x:v>
      </x:c>
      <x:c r="I8" s="2" t="n">
        <x:v>1</x:v>
      </x:c>
      <x:c r="J8" s="2" t="n">
        <x:v>1</x:v>
      </x:c>
      <x:c r="K8" s="2" t="n">
        <x:v>1</x:v>
      </x:c>
      <x:c r="L8" s="2" t="n">
        <x:v>1</x:v>
      </x:c>
      <x:c r="M8" s="2" t="n">
        <x:v>1</x:v>
      </x:c>
      <x:c r="N8" s="2" t="n">
        <x:v>1</x:v>
      </x:c>
      <x:c r="O8" s="2" t="n">
        <x:v>1</x:v>
      </x:c>
      <x:c r="P8" s="2" t="n">
        <x:v>2</x:v>
      </x:c>
      <x:c r="Q8" s="2" t="n">
        <x:v>2</x:v>
      </x:c>
      <x:c r="R8" s="2" t="n">
        <x:v>2</x:v>
      </x:c>
      <x:c r="S8" s="2" t="n">
        <x:v>2</x:v>
      </x:c>
      <x:c r="T8" s="2" t="n">
        <x:v>2</x:v>
      </x:c>
      <x:c r="U8" s="2" t="n">
        <x:v>2</x:v>
      </x:c>
      <x:c r="V8" s="2" t="n">
        <x:v>2</x:v>
      </x:c>
      <x:c r="W8" s="2" t="n">
        <x:v>2</x:v>
      </x:c>
      <x:c r="X8" s="2" t="n">
        <x:v>2</x:v>
      </x:c>
      <x:c r="Y8" s="2" t="n">
        <x:v>2</x:v>
      </x:c>
      <x:c r="Z8" s="2" t="n">
        <x:v>2</x:v>
      </x:c>
      <x:c r="AA8" s="2" t="n">
        <x:v>2</x:v>
      </x:c>
      <x:c r="AB8" s="2" t="n">
        <x:v>3</x:v>
      </x:c>
      <x:c r="AC8" s="2" t="n">
        <x:v>3</x:v>
      </x:c>
      <x:c r="AD8" s="2" t="n">
        <x:v>3</x:v>
      </x:c>
      <x:c r="AE8" s="2" t="n">
        <x:v>3</x:v>
      </x:c>
      <x:c r="AF8" s="2" t="n">
        <x:v>3</x:v>
      </x:c>
      <x:c r="AG8" s="2" t="n">
        <x:v>3</x:v>
      </x:c>
      <x:c r="AH8" s="2" t="n">
        <x:v>3</x:v>
      </x:c>
      <x:c r="AI8" s="2" t="n">
        <x:v>3</x:v>
      </x:c>
      <x:c r="AJ8" s="2" t="n">
        <x:v>3</x:v>
      </x:c>
      <x:c r="AK8" s="2" t="n">
        <x:v>3</x:v>
      </x:c>
      <x:c r="AL8" s="2" t="n">
        <x:v>3</x:v>
      </x:c>
      <x:c r="AM8" s="2" t="n">
        <x:v>3</x:v>
      </x:c>
      <x:c r="AN8" s="2"/>
    </x:row>
    <x:row r="9" ht="21" customHeight="1">
      <x:c r="A9" s="1"/>
      <x:c r="B9" s="1"/>
      <x:c r="C9" s="1" t="str">
        <x:v>Year column index</x:v>
      </x:c>
      <x:c r="D9" s="2" t="n">
        <x:v>1</x:v>
      </x:c>
      <x:c r="E9" s="2" t="n">
        <x:v>1</x:v>
      </x:c>
      <x:c r="F9" s="2" t="n">
        <x:v>1</x:v>
      </x:c>
      <x:c r="G9" s="2" t="n">
        <x:v>1</x:v>
      </x:c>
      <x:c r="H9" s="2" t="n">
        <x:v>1</x:v>
      </x:c>
      <x:c r="I9" s="2" t="n">
        <x:v>1</x:v>
      </x:c>
      <x:c r="J9" s="2" t="n">
        <x:v>1</x:v>
      </x:c>
      <x:c r="K9" s="2" t="n">
        <x:v>1</x:v>
      </x:c>
      <x:c r="L9" s="2" t="n">
        <x:v>1</x:v>
      </x:c>
      <x:c r="M9" s="2" t="n">
        <x:v>1</x:v>
      </x:c>
      <x:c r="N9" s="2" t="n">
        <x:v>1</x:v>
      </x:c>
      <x:c r="O9" s="2" t="n">
        <x:v>1</x:v>
      </x:c>
      <x:c r="P9" s="2" t="n">
        <x:v>2</x:v>
      </x:c>
      <x:c r="Q9" s="2" t="n">
        <x:v>2</x:v>
      </x:c>
      <x:c r="R9" s="2" t="n">
        <x:v>2</x:v>
      </x:c>
      <x:c r="S9" s="2" t="n">
        <x:v>2</x:v>
      </x:c>
      <x:c r="T9" s="2" t="n">
        <x:v>2</x:v>
      </x:c>
      <x:c r="U9" s="2" t="n">
        <x:v>2</x:v>
      </x:c>
      <x:c r="V9" s="2" t="n">
        <x:v>2</x:v>
      </x:c>
      <x:c r="W9" s="2" t="n">
        <x:v>2</x:v>
      </x:c>
      <x:c r="X9" s="2" t="n">
        <x:v>2</x:v>
      </x:c>
      <x:c r="Y9" s="2" t="n">
        <x:v>2</x:v>
      </x:c>
      <x:c r="Z9" s="2" t="n">
        <x:v>2</x:v>
      </x:c>
      <x:c r="AA9" s="2" t="n">
        <x:v>2</x:v>
      </x:c>
      <x:c r="AB9" s="2" t="n">
        <x:v>3</x:v>
      </x:c>
      <x:c r="AC9" s="2" t="n">
        <x:v>3</x:v>
      </x:c>
      <x:c r="AD9" s="2" t="n">
        <x:v>3</x:v>
      </x:c>
      <x:c r="AE9" s="2" t="n">
        <x:v>3</x:v>
      </x:c>
      <x:c r="AF9" s="2" t="n">
        <x:v>3</x:v>
      </x:c>
      <x:c r="AG9" s="2" t="n">
        <x:v>3</x:v>
      </x:c>
      <x:c r="AH9" s="2" t="n">
        <x:v>3</x:v>
      </x:c>
      <x:c r="AI9" s="2" t="n">
        <x:v>3</x:v>
      </x:c>
      <x:c r="AJ9" s="2" t="n">
        <x:v>3</x:v>
      </x:c>
      <x:c r="AK9" s="2" t="n">
        <x:v>3</x:v>
      </x:c>
      <x:c r="AL9" s="2" t="n">
        <x:v>3</x:v>
      </x:c>
      <x:c r="AM9" s="2" t="n">
        <x:v>3</x:v>
      </x:c>
      <x:c r="AN9" s="2"/>
    </x:row>
    <x:row r="10" ht="21" customHeight="1">
      <x:c r="A10" s="1"/>
      <x:c r="B10" s="1"/>
      <x:c r="C10" s="1" t="str">
        <x:v>Days</x:v>
      </x:c>
      <x:c r="D10" s="4" t="n">
        <x:f>'Assumptions'!D9</x:f>
        <x:v>30</x:v>
      </x:c>
      <x:c r="E10" s="4" t="n">
        <x:f>'Assumptions'!D9</x:f>
        <x:v>30</x:v>
      </x:c>
      <x:c r="F10" s="4" t="n">
        <x:f>'Assumptions'!D9</x:f>
        <x:v>30</x:v>
      </x:c>
      <x:c r="G10" s="4" t="n">
        <x:f>'Assumptions'!D9</x:f>
        <x:v>30</x:v>
      </x:c>
      <x:c r="H10" s="4" t="n">
        <x:f>'Assumptions'!D9</x:f>
        <x:v>30</x:v>
      </x:c>
      <x:c r="I10" s="4" t="n">
        <x:f>'Assumptions'!D9</x:f>
        <x:v>30</x:v>
      </x:c>
      <x:c r="J10" s="4" t="n">
        <x:f>'Assumptions'!D9</x:f>
        <x:v>30</x:v>
      </x:c>
      <x:c r="K10" s="4" t="n">
        <x:f>'Assumptions'!D9</x:f>
        <x:v>30</x:v>
      </x:c>
      <x:c r="L10" s="4" t="n">
        <x:f>'Assumptions'!D9</x:f>
        <x:v>30</x:v>
      </x:c>
      <x:c r="M10" s="4" t="n">
        <x:f>'Assumptions'!D9</x:f>
        <x:v>30</x:v>
      </x:c>
      <x:c r="N10" s="4" t="n">
        <x:f>'Assumptions'!D9</x:f>
        <x:v>30</x:v>
      </x:c>
      <x:c r="O10" s="4" t="n">
        <x:f>'Assumptions'!D9</x:f>
        <x:v>30</x:v>
      </x:c>
      <x:c r="P10" s="4" t="n">
        <x:f>'Assumptions'!E9</x:f>
        <x:v>30</x:v>
      </x:c>
      <x:c r="Q10" s="4" t="n">
        <x:f>'Assumptions'!E9</x:f>
        <x:v>30</x:v>
      </x:c>
      <x:c r="R10" s="4" t="n">
        <x:f>'Assumptions'!E9</x:f>
        <x:v>30</x:v>
      </x:c>
      <x:c r="S10" s="4" t="n">
        <x:f>'Assumptions'!E9</x:f>
        <x:v>30</x:v>
      </x:c>
      <x:c r="T10" s="4" t="n">
        <x:f>'Assumptions'!E9</x:f>
        <x:v>30</x:v>
      </x:c>
      <x:c r="U10" s="4" t="n">
        <x:f>'Assumptions'!E9</x:f>
        <x:v>30</x:v>
      </x:c>
      <x:c r="V10" s="4" t="n">
        <x:f>'Assumptions'!E9</x:f>
        <x:v>30</x:v>
      </x:c>
      <x:c r="W10" s="4" t="n">
        <x:f>'Assumptions'!E9</x:f>
        <x:v>30</x:v>
      </x:c>
      <x:c r="X10" s="4" t="n">
        <x:f>'Assumptions'!E9</x:f>
        <x:v>30</x:v>
      </x:c>
      <x:c r="Y10" s="4" t="n">
        <x:f>'Assumptions'!E9</x:f>
        <x:v>30</x:v>
      </x:c>
      <x:c r="Z10" s="4" t="n">
        <x:f>'Assumptions'!E9</x:f>
        <x:v>30</x:v>
      </x:c>
      <x:c r="AA10" s="4" t="n">
        <x:f>'Assumptions'!E9</x:f>
        <x:v>30</x:v>
      </x:c>
      <x:c r="AB10" s="4" t="n">
        <x:f>'Assumptions'!F9</x:f>
        <x:v>30</x:v>
      </x:c>
      <x:c r="AC10" s="4" t="n">
        <x:f>'Assumptions'!F9</x:f>
        <x:v>30</x:v>
      </x:c>
      <x:c r="AD10" s="4" t="n">
        <x:f>'Assumptions'!F9</x:f>
        <x:v>30</x:v>
      </x:c>
      <x:c r="AE10" s="4" t="n">
        <x:f>'Assumptions'!F9</x:f>
        <x:v>30</x:v>
      </x:c>
      <x:c r="AF10" s="4" t="n">
        <x:f>'Assumptions'!F9</x:f>
        <x:v>30</x:v>
      </x:c>
      <x:c r="AG10" s="4" t="n">
        <x:f>'Assumptions'!F9</x:f>
        <x:v>30</x:v>
      </x:c>
      <x:c r="AH10" s="4" t="n">
        <x:f>'Assumptions'!F9</x:f>
        <x:v>30</x:v>
      </x:c>
      <x:c r="AI10" s="4" t="n">
        <x:f>'Assumptions'!F9</x:f>
        <x:v>30</x:v>
      </x:c>
      <x:c r="AJ10" s="4" t="n">
        <x:f>'Assumptions'!F9</x:f>
        <x:v>30</x:v>
      </x:c>
      <x:c r="AK10" s="4" t="n">
        <x:f>'Assumptions'!F9</x:f>
        <x:v>30</x:v>
      </x:c>
      <x:c r="AL10" s="4" t="n">
        <x:f>'Assumptions'!F9</x:f>
        <x:v>30</x:v>
      </x:c>
      <x:c r="AM10" s="4" t="n">
        <x:f>'Assumptions'!F9</x:f>
        <x:v>30</x:v>
      </x:c>
      <x:c r="AN10" s="2"/>
    </x:row>
    <x:row r="11" ht="21" customHeight="1">
      <x:c r="A11" s="1"/>
      <x:c r="B11" s="1"/>
      <x:c r="C11" s="1" t="str">
        <x:v>Opening ramp</x:v>
      </x:c>
      <x:c r="D11" s="4" t="n">
        <x:f>INDEX('Assumptions'!$D$79:$O$79,1,D7)</x:f>
        <x:v>0.5</x:v>
      </x:c>
      <x:c r="E11" s="4" t="n">
        <x:f>INDEX('Assumptions'!$D$79:$O$79,1,E7)</x:f>
        <x:v>0.6</x:v>
      </x:c>
      <x:c r="F11" s="4" t="n">
        <x:f>INDEX('Assumptions'!$D$79:$O$79,1,F7)</x:f>
        <x:v>0.7</x:v>
      </x:c>
      <x:c r="G11" s="4" t="n">
        <x:f>INDEX('Assumptions'!$D$79:$O$79,1,G7)</x:f>
        <x:v>0.75</x:v>
      </x:c>
      <x:c r="H11" s="4" t="n">
        <x:f>INDEX('Assumptions'!$D$79:$O$79,1,H7)</x:f>
        <x:v>0.8</x:v>
      </x:c>
      <x:c r="I11" s="4" t="n">
        <x:f>INDEX('Assumptions'!$D$79:$O$79,1,I7)</x:f>
        <x:v>0.85</x:v>
      </x:c>
      <x:c r="J11" s="4" t="n">
        <x:f>INDEX('Assumptions'!$D$79:$O$79,1,J7)</x:f>
        <x:v>0.9</x:v>
      </x:c>
      <x:c r="K11" s="4" t="n">
        <x:f>INDEX('Assumptions'!$D$79:$O$79,1,K7)</x:f>
        <x:v>0.95</x:v>
      </x:c>
      <x:c r="L11" s="4" t="n">
        <x:f>INDEX('Assumptions'!$D$79:$O$79,1,L7)</x:f>
        <x:v>1</x:v>
      </x:c>
      <x:c r="M11" s="4" t="n">
        <x:f>INDEX('Assumptions'!$D$79:$O$79,1,M7)</x:f>
        <x:v>1</x:v>
      </x:c>
      <x:c r="N11" s="4" t="n">
        <x:f>INDEX('Assumptions'!$D$79:$O$79,1,N7)</x:f>
        <x:v>1</x:v>
      </x:c>
      <x:c r="O11" s="4" t="n">
        <x:f>INDEX('Assumptions'!$D$79:$O$79,1,O7)</x:f>
        <x:v>1</x:v>
      </x:c>
      <x:c r="P11" s="9" t="n">
        <x:f>1</x:f>
        <x:v>1</x:v>
      </x:c>
      <x:c r="Q11" s="9" t="n">
        <x:f>1</x:f>
        <x:v>1</x:v>
      </x:c>
      <x:c r="R11" s="9" t="n">
        <x:f>1</x:f>
        <x:v>1</x:v>
      </x:c>
      <x:c r="S11" s="9" t="n">
        <x:f>1</x:f>
        <x:v>1</x:v>
      </x:c>
      <x:c r="T11" s="9" t="n">
        <x:f>1</x:f>
        <x:v>1</x:v>
      </x:c>
      <x:c r="U11" s="9" t="n">
        <x:f>1</x:f>
        <x:v>1</x:v>
      </x:c>
      <x:c r="V11" s="9" t="n">
        <x:f>1</x:f>
        <x:v>1</x:v>
      </x:c>
      <x:c r="W11" s="9" t="n">
        <x:f>1</x:f>
        <x:v>1</x:v>
      </x:c>
      <x:c r="X11" s="9" t="n">
        <x:f>1</x:f>
        <x:v>1</x:v>
      </x:c>
      <x:c r="Y11" s="9" t="n">
        <x:f>1</x:f>
        <x:v>1</x:v>
      </x:c>
      <x:c r="Z11" s="9" t="n">
        <x:f>1</x:f>
        <x:v>1</x:v>
      </x:c>
      <x:c r="AA11" s="9" t="n">
        <x:f>1</x:f>
        <x:v>1</x:v>
      </x:c>
      <x:c r="AB11" s="9" t="n">
        <x:f>1</x:f>
        <x:v>1</x:v>
      </x:c>
      <x:c r="AC11" s="9" t="n">
        <x:f>1</x:f>
        <x:v>1</x:v>
      </x:c>
      <x:c r="AD11" s="9" t="n">
        <x:f>1</x:f>
        <x:v>1</x:v>
      </x:c>
      <x:c r="AE11" s="9" t="n">
        <x:f>1</x:f>
        <x:v>1</x:v>
      </x:c>
      <x:c r="AF11" s="9" t="n">
        <x:f>1</x:f>
        <x:v>1</x:v>
      </x:c>
      <x:c r="AG11" s="9" t="n">
        <x:f>1</x:f>
        <x:v>1</x:v>
      </x:c>
      <x:c r="AH11" s="9" t="n">
        <x:f>1</x:f>
        <x:v>1</x:v>
      </x:c>
      <x:c r="AI11" s="9" t="n">
        <x:f>1</x:f>
        <x:v>1</x:v>
      </x:c>
      <x:c r="AJ11" s="9" t="n">
        <x:f>1</x:f>
        <x:v>1</x:v>
      </x:c>
      <x:c r="AK11" s="9" t="n">
        <x:f>1</x:f>
        <x:v>1</x:v>
      </x:c>
      <x:c r="AL11" s="9" t="n">
        <x:f>1</x:f>
        <x:v>1</x:v>
      </x:c>
      <x:c r="AM11" s="9" t="n">
        <x:f>1</x:f>
        <x:v>1</x:v>
      </x:c>
      <x:c r="AN11" s="2"/>
    </x:row>
    <x:row r="12" ht="21" customHeight="1">
      <x:c r="A12" s="1"/>
      <x:c r="B12" s="1"/>
      <x:c r="C12" s="1" t="str">
        <x:v>Paid-visit multiplier</x:v>
      </x:c>
      <x:c r="D12" s="4" t="n">
        <x:f>'Assumptions'!D61</x:f>
        <x:v>1</x:v>
      </x:c>
      <x:c r="E12" s="4" t="n">
        <x:f>'Assumptions'!D61</x:f>
        <x:v>1</x:v>
      </x:c>
      <x:c r="F12" s="4" t="n">
        <x:f>'Assumptions'!D61</x:f>
        <x:v>1</x:v>
      </x:c>
      <x:c r="G12" s="4" t="n">
        <x:f>'Assumptions'!D61</x:f>
        <x:v>1</x:v>
      </x:c>
      <x:c r="H12" s="4" t="n">
        <x:f>'Assumptions'!D61</x:f>
        <x:v>1</x:v>
      </x:c>
      <x:c r="I12" s="4" t="n">
        <x:f>'Assumptions'!D61</x:f>
        <x:v>1</x:v>
      </x:c>
      <x:c r="J12" s="4" t="n">
        <x:f>'Assumptions'!D61</x:f>
        <x:v>1</x:v>
      </x:c>
      <x:c r="K12" s="4" t="n">
        <x:f>'Assumptions'!D61</x:f>
        <x:v>1</x:v>
      </x:c>
      <x:c r="L12" s="4" t="n">
        <x:f>'Assumptions'!D61</x:f>
        <x:v>1</x:v>
      </x:c>
      <x:c r="M12" s="4" t="n">
        <x:f>'Assumptions'!D61</x:f>
        <x:v>1</x:v>
      </x:c>
      <x:c r="N12" s="4" t="n">
        <x:f>'Assumptions'!D61</x:f>
        <x:v>1</x:v>
      </x:c>
      <x:c r="O12" s="4" t="n">
        <x:f>'Assumptions'!D61</x:f>
        <x:v>1</x:v>
      </x:c>
      <x:c r="P12" s="4" t="n">
        <x:f>'Assumptions'!E61</x:f>
        <x:v>1</x:v>
      </x:c>
      <x:c r="Q12" s="4" t="n">
        <x:f>'Assumptions'!E61</x:f>
        <x:v>1</x:v>
      </x:c>
      <x:c r="R12" s="4" t="n">
        <x:f>'Assumptions'!E61</x:f>
        <x:v>1</x:v>
      </x:c>
      <x:c r="S12" s="4" t="n">
        <x:f>'Assumptions'!E61</x:f>
        <x:v>1</x:v>
      </x:c>
      <x:c r="T12" s="4" t="n">
        <x:f>'Assumptions'!E61</x:f>
        <x:v>1</x:v>
      </x:c>
      <x:c r="U12" s="4" t="n">
        <x:f>'Assumptions'!E61</x:f>
        <x:v>1</x:v>
      </x:c>
      <x:c r="V12" s="4" t="n">
        <x:f>'Assumptions'!E61</x:f>
        <x:v>1</x:v>
      </x:c>
      <x:c r="W12" s="4" t="n">
        <x:f>'Assumptions'!E61</x:f>
        <x:v>1</x:v>
      </x:c>
      <x:c r="X12" s="4" t="n">
        <x:f>'Assumptions'!E61</x:f>
        <x:v>1</x:v>
      </x:c>
      <x:c r="Y12" s="4" t="n">
        <x:f>'Assumptions'!E61</x:f>
        <x:v>1</x:v>
      </x:c>
      <x:c r="Z12" s="4" t="n">
        <x:f>'Assumptions'!E61</x:f>
        <x:v>1</x:v>
      </x:c>
      <x:c r="AA12" s="4" t="n">
        <x:f>'Assumptions'!E61</x:f>
        <x:v>1</x:v>
      </x:c>
      <x:c r="AB12" s="4" t="n">
        <x:f>'Assumptions'!F61</x:f>
        <x:v>1</x:v>
      </x:c>
      <x:c r="AC12" s="4" t="n">
        <x:f>'Assumptions'!F61</x:f>
        <x:v>1</x:v>
      </x:c>
      <x:c r="AD12" s="4" t="n">
        <x:f>'Assumptions'!F61</x:f>
        <x:v>1</x:v>
      </x:c>
      <x:c r="AE12" s="4" t="n">
        <x:f>'Assumptions'!F61</x:f>
        <x:v>1</x:v>
      </x:c>
      <x:c r="AF12" s="4" t="n">
        <x:f>'Assumptions'!F61</x:f>
        <x:v>1</x:v>
      </x:c>
      <x:c r="AG12" s="4" t="n">
        <x:f>'Assumptions'!F61</x:f>
        <x:v>1</x:v>
      </x:c>
      <x:c r="AH12" s="4" t="n">
        <x:f>'Assumptions'!F61</x:f>
        <x:v>1</x:v>
      </x:c>
      <x:c r="AI12" s="4" t="n">
        <x:f>'Assumptions'!F61</x:f>
        <x:v>1</x:v>
      </x:c>
      <x:c r="AJ12" s="4" t="n">
        <x:f>'Assumptions'!F61</x:f>
        <x:v>1</x:v>
      </x:c>
      <x:c r="AK12" s="4" t="n">
        <x:f>'Assumptions'!F61</x:f>
        <x:v>1</x:v>
      </x:c>
      <x:c r="AL12" s="4" t="n">
        <x:f>'Assumptions'!F61</x:f>
        <x:v>1</x:v>
      </x:c>
      <x:c r="AM12" s="4" t="n">
        <x:f>'Assumptions'!F61</x:f>
        <x:v>1</x:v>
      </x:c>
      <x:c r="AN12" s="2"/>
    </x:row>
    <x:row r="13" ht="21" customHeight="1">
      <x:c r="A13" s="1"/>
      <x:c r="B13" s="1"/>
      <x:c r="C13" s="1" t="str">
        <x:v>Price index</x:v>
      </x:c>
      <x:c r="D13" s="9" t="n">
        <x:f>1</x:f>
        <x:v>1</x:v>
      </x:c>
      <x:c r="E13" s="9" t="n">
        <x:f>1</x:f>
        <x:v>1</x:v>
      </x:c>
      <x:c r="F13" s="9" t="n">
        <x:f>1</x:f>
        <x:v>1</x:v>
      </x:c>
      <x:c r="G13" s="9" t="n">
        <x:f>1</x:f>
        <x:v>1</x:v>
      </x:c>
      <x:c r="H13" s="9" t="n">
        <x:f>1</x:f>
        <x:v>1</x:v>
      </x:c>
      <x:c r="I13" s="9" t="n">
        <x:f>1</x:f>
        <x:v>1</x:v>
      </x:c>
      <x:c r="J13" s="9" t="n">
        <x:f>1</x:f>
        <x:v>1</x:v>
      </x:c>
      <x:c r="K13" s="9" t="n">
        <x:f>1</x:f>
        <x:v>1</x:v>
      </x:c>
      <x:c r="L13" s="9" t="n">
        <x:f>1</x:f>
        <x:v>1</x:v>
      </x:c>
      <x:c r="M13" s="9" t="n">
        <x:f>1</x:f>
        <x:v>1</x:v>
      </x:c>
      <x:c r="N13" s="9" t="n">
        <x:f>1</x:f>
        <x:v>1</x:v>
      </x:c>
      <x:c r="O13" s="9" t="n">
        <x:f>1</x:f>
        <x:v>1</x:v>
      </x:c>
      <x:c r="P13" s="4" t="n">
        <x:f>D13*(1+'Assumptions'!E16)</x:f>
        <x:v>1.03</x:v>
      </x:c>
      <x:c r="Q13" s="4" t="n">
        <x:f>D13*(1+'Assumptions'!E16)</x:f>
        <x:v>1.03</x:v>
      </x:c>
      <x:c r="R13" s="4" t="n">
        <x:f>D13*(1+'Assumptions'!E16)</x:f>
        <x:v>1.03</x:v>
      </x:c>
      <x:c r="S13" s="4" t="n">
        <x:f>D13*(1+'Assumptions'!E16)</x:f>
        <x:v>1.03</x:v>
      </x:c>
      <x:c r="T13" s="4" t="n">
        <x:f>D13*(1+'Assumptions'!E16)</x:f>
        <x:v>1.03</x:v>
      </x:c>
      <x:c r="U13" s="4" t="n">
        <x:f>D13*(1+'Assumptions'!E16)</x:f>
        <x:v>1.03</x:v>
      </x:c>
      <x:c r="V13" s="4" t="n">
        <x:f>D13*(1+'Assumptions'!E16)</x:f>
        <x:v>1.03</x:v>
      </x:c>
      <x:c r="W13" s="4" t="n">
        <x:f>D13*(1+'Assumptions'!E16)</x:f>
        <x:v>1.03</x:v>
      </x:c>
      <x:c r="X13" s="4" t="n">
        <x:f>D13*(1+'Assumptions'!E16)</x:f>
        <x:v>1.03</x:v>
      </x:c>
      <x:c r="Y13" s="4" t="n">
        <x:f>D13*(1+'Assumptions'!E16)</x:f>
        <x:v>1.03</x:v>
      </x:c>
      <x:c r="Z13" s="4" t="n">
        <x:f>D13*(1+'Assumptions'!E16)</x:f>
        <x:v>1.03</x:v>
      </x:c>
      <x:c r="AA13" s="4" t="n">
        <x:f>D13*(1+'Assumptions'!E16)</x:f>
        <x:v>1.03</x:v>
      </x:c>
      <x:c r="AB13" s="4" t="n">
        <x:f>P13*(1+'Assumptions'!F16)</x:f>
        <x:v>1.0609</x:v>
      </x:c>
      <x:c r="AC13" s="4" t="n">
        <x:f>P13*(1+'Assumptions'!F16)</x:f>
        <x:v>1.0609</x:v>
      </x:c>
      <x:c r="AD13" s="4" t="n">
        <x:f>P13*(1+'Assumptions'!F16)</x:f>
        <x:v>1.0609</x:v>
      </x:c>
      <x:c r="AE13" s="4" t="n">
        <x:f>P13*(1+'Assumptions'!F16)</x:f>
        <x:v>1.0609</x:v>
      </x:c>
      <x:c r="AF13" s="4" t="n">
        <x:f>P13*(1+'Assumptions'!F16)</x:f>
        <x:v>1.0609</x:v>
      </x:c>
      <x:c r="AG13" s="4" t="n">
        <x:f>P13*(1+'Assumptions'!F16)</x:f>
        <x:v>1.0609</x:v>
      </x:c>
      <x:c r="AH13" s="4" t="n">
        <x:f>P13*(1+'Assumptions'!F16)</x:f>
        <x:v>1.0609</x:v>
      </x:c>
      <x:c r="AI13" s="4" t="n">
        <x:f>P13*(1+'Assumptions'!F16)</x:f>
        <x:v>1.0609</x:v>
      </x:c>
      <x:c r="AJ13" s="4" t="n">
        <x:f>P13*(1+'Assumptions'!F16)</x:f>
        <x:v>1.0609</x:v>
      </x:c>
      <x:c r="AK13" s="4" t="n">
        <x:f>P13*(1+'Assumptions'!F16)</x:f>
        <x:v>1.0609</x:v>
      </x:c>
      <x:c r="AL13" s="4" t="n">
        <x:f>P13*(1+'Assumptions'!F16)</x:f>
        <x:v>1.0609</x:v>
      </x:c>
      <x:c r="AM13" s="4" t="n">
        <x:f>P13*(1+'Assumptions'!F16)</x:f>
        <x:v>1.0609</x:v>
      </x:c>
      <x:c r="AN13" s="2"/>
    </x:row>
    <x:row r="14" ht="21" customHeight="1">
      <x:c r="A14" s="1"/>
      <x:c r="B14" s="1"/>
      <x:c r="C14" s="1" t="str">
        <x:v>Product purchase-cost index</x:v>
      </x:c>
      <x:c r="D14" s="9" t="n">
        <x:f>1</x:f>
        <x:v>1</x:v>
      </x:c>
      <x:c r="E14" s="9" t="n">
        <x:f>1</x:f>
        <x:v>1</x:v>
      </x:c>
      <x:c r="F14" s="9" t="n">
        <x:f>1</x:f>
        <x:v>1</x:v>
      </x:c>
      <x:c r="G14" s="9" t="n">
        <x:f>1</x:f>
        <x:v>1</x:v>
      </x:c>
      <x:c r="H14" s="9" t="n">
        <x:f>1</x:f>
        <x:v>1</x:v>
      </x:c>
      <x:c r="I14" s="9" t="n">
        <x:f>1</x:f>
        <x:v>1</x:v>
      </x:c>
      <x:c r="J14" s="9" t="n">
        <x:f>1</x:f>
        <x:v>1</x:v>
      </x:c>
      <x:c r="K14" s="9" t="n">
        <x:f>1</x:f>
        <x:v>1</x:v>
      </x:c>
      <x:c r="L14" s="9" t="n">
        <x:f>1</x:f>
        <x:v>1</x:v>
      </x:c>
      <x:c r="M14" s="9" t="n">
        <x:f>1</x:f>
        <x:v>1</x:v>
      </x:c>
      <x:c r="N14" s="9" t="n">
        <x:f>1</x:f>
        <x:v>1</x:v>
      </x:c>
      <x:c r="O14" s="9" t="n">
        <x:f>1</x:f>
        <x:v>1</x:v>
      </x:c>
      <x:c r="P14" s="4" t="n">
        <x:f>D14*(1+'Assumptions'!E17)</x:f>
        <x:v>1.03</x:v>
      </x:c>
      <x:c r="Q14" s="4" t="n">
        <x:f>D14*(1+'Assumptions'!E17)</x:f>
        <x:v>1.03</x:v>
      </x:c>
      <x:c r="R14" s="4" t="n">
        <x:f>D14*(1+'Assumptions'!E17)</x:f>
        <x:v>1.03</x:v>
      </x:c>
      <x:c r="S14" s="4" t="n">
        <x:f>D14*(1+'Assumptions'!E17)</x:f>
        <x:v>1.03</x:v>
      </x:c>
      <x:c r="T14" s="4" t="n">
        <x:f>D14*(1+'Assumptions'!E17)</x:f>
        <x:v>1.03</x:v>
      </x:c>
      <x:c r="U14" s="4" t="n">
        <x:f>D14*(1+'Assumptions'!E17)</x:f>
        <x:v>1.03</x:v>
      </x:c>
      <x:c r="V14" s="4" t="n">
        <x:f>D14*(1+'Assumptions'!E17)</x:f>
        <x:v>1.03</x:v>
      </x:c>
      <x:c r="W14" s="4" t="n">
        <x:f>D14*(1+'Assumptions'!E17)</x:f>
        <x:v>1.03</x:v>
      </x:c>
      <x:c r="X14" s="4" t="n">
        <x:f>D14*(1+'Assumptions'!E17)</x:f>
        <x:v>1.03</x:v>
      </x:c>
      <x:c r="Y14" s="4" t="n">
        <x:f>D14*(1+'Assumptions'!E17)</x:f>
        <x:v>1.03</x:v>
      </x:c>
      <x:c r="Z14" s="4" t="n">
        <x:f>D14*(1+'Assumptions'!E17)</x:f>
        <x:v>1.03</x:v>
      </x:c>
      <x:c r="AA14" s="4" t="n">
        <x:f>D14*(1+'Assumptions'!E17)</x:f>
        <x:v>1.03</x:v>
      </x:c>
      <x:c r="AB14" s="4" t="n">
        <x:f>P14*(1+'Assumptions'!F17)</x:f>
        <x:v>1.0609</x:v>
      </x:c>
      <x:c r="AC14" s="4" t="n">
        <x:f>P14*(1+'Assumptions'!F17)</x:f>
        <x:v>1.0609</x:v>
      </x:c>
      <x:c r="AD14" s="4" t="n">
        <x:f>P14*(1+'Assumptions'!F17)</x:f>
        <x:v>1.0609</x:v>
      </x:c>
      <x:c r="AE14" s="4" t="n">
        <x:f>P14*(1+'Assumptions'!F17)</x:f>
        <x:v>1.0609</x:v>
      </x:c>
      <x:c r="AF14" s="4" t="n">
        <x:f>P14*(1+'Assumptions'!F17)</x:f>
        <x:v>1.0609</x:v>
      </x:c>
      <x:c r="AG14" s="4" t="n">
        <x:f>P14*(1+'Assumptions'!F17)</x:f>
        <x:v>1.0609</x:v>
      </x:c>
      <x:c r="AH14" s="4" t="n">
        <x:f>P14*(1+'Assumptions'!F17)</x:f>
        <x:v>1.0609</x:v>
      </x:c>
      <x:c r="AI14" s="4" t="n">
        <x:f>P14*(1+'Assumptions'!F17)</x:f>
        <x:v>1.0609</x:v>
      </x:c>
      <x:c r="AJ14" s="4" t="n">
        <x:f>P14*(1+'Assumptions'!F17)</x:f>
        <x:v>1.0609</x:v>
      </x:c>
      <x:c r="AK14" s="4" t="n">
        <x:f>P14*(1+'Assumptions'!F17)</x:f>
        <x:v>1.0609</x:v>
      </x:c>
      <x:c r="AL14" s="4" t="n">
        <x:f>P14*(1+'Assumptions'!F17)</x:f>
        <x:v>1.0609</x:v>
      </x:c>
      <x:c r="AM14" s="4" t="n">
        <x:f>P14*(1+'Assumptions'!F17)</x:f>
        <x:v>1.0609</x:v>
      </x:c>
      <x:c r="AN14" s="2"/>
    </x:row>
    <x:row r="15" ht="21" customHeight="1">
      <x:c r="A15" s="1"/>
      <x:c r="B15" s="1"/>
      <x:c r="C15" s="1" t="str">
        <x:v>Wage index</x:v>
      </x:c>
      <x:c r="D15" s="9" t="n">
        <x:f>1</x:f>
        <x:v>1</x:v>
      </x:c>
      <x:c r="E15" s="9" t="n">
        <x:f>1</x:f>
        <x:v>1</x:v>
      </x:c>
      <x:c r="F15" s="9" t="n">
        <x:f>1</x:f>
        <x:v>1</x:v>
      </x:c>
      <x:c r="G15" s="9" t="n">
        <x:f>1</x:f>
        <x:v>1</x:v>
      </x:c>
      <x:c r="H15" s="9" t="n">
        <x:f>1</x:f>
        <x:v>1</x:v>
      </x:c>
      <x:c r="I15" s="9" t="n">
        <x:f>1</x:f>
        <x:v>1</x:v>
      </x:c>
      <x:c r="J15" s="9" t="n">
        <x:f>1</x:f>
        <x:v>1</x:v>
      </x:c>
      <x:c r="K15" s="9" t="n">
        <x:f>1</x:f>
        <x:v>1</x:v>
      </x:c>
      <x:c r="L15" s="9" t="n">
        <x:f>1</x:f>
        <x:v>1</x:v>
      </x:c>
      <x:c r="M15" s="9" t="n">
        <x:f>1</x:f>
        <x:v>1</x:v>
      </x:c>
      <x:c r="N15" s="9" t="n">
        <x:f>1</x:f>
        <x:v>1</x:v>
      </x:c>
      <x:c r="O15" s="9" t="n">
        <x:f>1</x:f>
        <x:v>1</x:v>
      </x:c>
      <x:c r="P15" s="4" t="n">
        <x:f>D15*(1+'Assumptions'!E24)</x:f>
        <x:v>1.03</x:v>
      </x:c>
      <x:c r="Q15" s="4" t="n">
        <x:f>D15*(1+'Assumptions'!E24)</x:f>
        <x:v>1.03</x:v>
      </x:c>
      <x:c r="R15" s="4" t="n">
        <x:f>D15*(1+'Assumptions'!E24)</x:f>
        <x:v>1.03</x:v>
      </x:c>
      <x:c r="S15" s="4" t="n">
        <x:f>D15*(1+'Assumptions'!E24)</x:f>
        <x:v>1.03</x:v>
      </x:c>
      <x:c r="T15" s="4" t="n">
        <x:f>D15*(1+'Assumptions'!E24)</x:f>
        <x:v>1.03</x:v>
      </x:c>
      <x:c r="U15" s="4" t="n">
        <x:f>D15*(1+'Assumptions'!E24)</x:f>
        <x:v>1.03</x:v>
      </x:c>
      <x:c r="V15" s="4" t="n">
        <x:f>D15*(1+'Assumptions'!E24)</x:f>
        <x:v>1.03</x:v>
      </x:c>
      <x:c r="W15" s="4" t="n">
        <x:f>D15*(1+'Assumptions'!E24)</x:f>
        <x:v>1.03</x:v>
      </x:c>
      <x:c r="X15" s="4" t="n">
        <x:f>D15*(1+'Assumptions'!E24)</x:f>
        <x:v>1.03</x:v>
      </x:c>
      <x:c r="Y15" s="4" t="n">
        <x:f>D15*(1+'Assumptions'!E24)</x:f>
        <x:v>1.03</x:v>
      </x:c>
      <x:c r="Z15" s="4" t="n">
        <x:f>D15*(1+'Assumptions'!E24)</x:f>
        <x:v>1.03</x:v>
      </x:c>
      <x:c r="AA15" s="4" t="n">
        <x:f>D15*(1+'Assumptions'!E24)</x:f>
        <x:v>1.03</x:v>
      </x:c>
      <x:c r="AB15" s="4" t="n">
        <x:f>P15*(1+'Assumptions'!F24)</x:f>
        <x:v>1.0609</x:v>
      </x:c>
      <x:c r="AC15" s="4" t="n">
        <x:f>P15*(1+'Assumptions'!F24)</x:f>
        <x:v>1.0609</x:v>
      </x:c>
      <x:c r="AD15" s="4" t="n">
        <x:f>P15*(1+'Assumptions'!F24)</x:f>
        <x:v>1.0609</x:v>
      </x:c>
      <x:c r="AE15" s="4" t="n">
        <x:f>P15*(1+'Assumptions'!F24)</x:f>
        <x:v>1.0609</x:v>
      </x:c>
      <x:c r="AF15" s="4" t="n">
        <x:f>P15*(1+'Assumptions'!F24)</x:f>
        <x:v>1.0609</x:v>
      </x:c>
      <x:c r="AG15" s="4" t="n">
        <x:f>P15*(1+'Assumptions'!F24)</x:f>
        <x:v>1.0609</x:v>
      </x:c>
      <x:c r="AH15" s="4" t="n">
        <x:f>P15*(1+'Assumptions'!F24)</x:f>
        <x:v>1.0609</x:v>
      </x:c>
      <x:c r="AI15" s="4" t="n">
        <x:f>P15*(1+'Assumptions'!F24)</x:f>
        <x:v>1.0609</x:v>
      </x:c>
      <x:c r="AJ15" s="4" t="n">
        <x:f>P15*(1+'Assumptions'!F24)</x:f>
        <x:v>1.0609</x:v>
      </x:c>
      <x:c r="AK15" s="4" t="n">
        <x:f>P15*(1+'Assumptions'!F24)</x:f>
        <x:v>1.0609</x:v>
      </x:c>
      <x:c r="AL15" s="4" t="n">
        <x:f>P15*(1+'Assumptions'!F24)</x:f>
        <x:v>1.0609</x:v>
      </x:c>
      <x:c r="AM15" s="4" t="n">
        <x:f>P15*(1+'Assumptions'!F24)</x:f>
        <x:v>1.0609</x:v>
      </x:c>
      <x:c r="AN15" s="2"/>
    </x:row>
    <x:row r="16" ht="21" customHeight="1">
      <x:c r="A16" s="1"/>
      <x:c r="B16" s="1"/>
      <x:c r="C16" s="1" t="str">
        <x:v>Health-cost index</x:v>
      </x:c>
      <x:c r="D16" s="9" t="n">
        <x:f>1</x:f>
        <x:v>1</x:v>
      </x:c>
      <x:c r="E16" s="9" t="n">
        <x:f>1</x:f>
        <x:v>1</x:v>
      </x:c>
      <x:c r="F16" s="9" t="n">
        <x:f>1</x:f>
        <x:v>1</x:v>
      </x:c>
      <x:c r="G16" s="9" t="n">
        <x:f>1</x:f>
        <x:v>1</x:v>
      </x:c>
      <x:c r="H16" s="9" t="n">
        <x:f>1</x:f>
        <x:v>1</x:v>
      </x:c>
      <x:c r="I16" s="9" t="n">
        <x:f>1</x:f>
        <x:v>1</x:v>
      </x:c>
      <x:c r="J16" s="9" t="n">
        <x:f>1</x:f>
        <x:v>1</x:v>
      </x:c>
      <x:c r="K16" s="9" t="n">
        <x:f>1</x:f>
        <x:v>1</x:v>
      </x:c>
      <x:c r="L16" s="9" t="n">
        <x:f>1</x:f>
        <x:v>1</x:v>
      </x:c>
      <x:c r="M16" s="9" t="n">
        <x:f>1</x:f>
        <x:v>1</x:v>
      </x:c>
      <x:c r="N16" s="9" t="n">
        <x:f>1</x:f>
        <x:v>1</x:v>
      </x:c>
      <x:c r="O16" s="9" t="n">
        <x:f>1</x:f>
        <x:v>1</x:v>
      </x:c>
      <x:c r="P16" s="4" t="n">
        <x:f>D16*(1+'Assumptions'!E31)</x:f>
        <x:v>1.06</x:v>
      </x:c>
      <x:c r="Q16" s="4" t="n">
        <x:f>D16*(1+'Assumptions'!E31)</x:f>
        <x:v>1.06</x:v>
      </x:c>
      <x:c r="R16" s="4" t="n">
        <x:f>D16*(1+'Assumptions'!E31)</x:f>
        <x:v>1.06</x:v>
      </x:c>
      <x:c r="S16" s="4" t="n">
        <x:f>D16*(1+'Assumptions'!E31)</x:f>
        <x:v>1.06</x:v>
      </x:c>
      <x:c r="T16" s="4" t="n">
        <x:f>D16*(1+'Assumptions'!E31)</x:f>
        <x:v>1.06</x:v>
      </x:c>
      <x:c r="U16" s="4" t="n">
        <x:f>D16*(1+'Assumptions'!E31)</x:f>
        <x:v>1.06</x:v>
      </x:c>
      <x:c r="V16" s="4" t="n">
        <x:f>D16*(1+'Assumptions'!E31)</x:f>
        <x:v>1.06</x:v>
      </x:c>
      <x:c r="W16" s="4" t="n">
        <x:f>D16*(1+'Assumptions'!E31)</x:f>
        <x:v>1.06</x:v>
      </x:c>
      <x:c r="X16" s="4" t="n">
        <x:f>D16*(1+'Assumptions'!E31)</x:f>
        <x:v>1.06</x:v>
      </x:c>
      <x:c r="Y16" s="4" t="n">
        <x:f>D16*(1+'Assumptions'!E31)</x:f>
        <x:v>1.06</x:v>
      </x:c>
      <x:c r="Z16" s="4" t="n">
        <x:f>D16*(1+'Assumptions'!E31)</x:f>
        <x:v>1.06</x:v>
      </x:c>
      <x:c r="AA16" s="4" t="n">
        <x:f>D16*(1+'Assumptions'!E31)</x:f>
        <x:v>1.06</x:v>
      </x:c>
      <x:c r="AB16" s="4" t="n">
        <x:f>P16*(1+'Assumptions'!F31)</x:f>
        <x:v>1.1236000000000002</x:v>
      </x:c>
      <x:c r="AC16" s="4" t="n">
        <x:f>P16*(1+'Assumptions'!F31)</x:f>
        <x:v>1.1236000000000002</x:v>
      </x:c>
      <x:c r="AD16" s="4" t="n">
        <x:f>P16*(1+'Assumptions'!F31)</x:f>
        <x:v>1.1236000000000002</x:v>
      </x:c>
      <x:c r="AE16" s="4" t="n">
        <x:f>P16*(1+'Assumptions'!F31)</x:f>
        <x:v>1.1236000000000002</x:v>
      </x:c>
      <x:c r="AF16" s="4" t="n">
        <x:f>P16*(1+'Assumptions'!F31)</x:f>
        <x:v>1.1236000000000002</x:v>
      </x:c>
      <x:c r="AG16" s="4" t="n">
        <x:f>P16*(1+'Assumptions'!F31)</x:f>
        <x:v>1.1236000000000002</x:v>
      </x:c>
      <x:c r="AH16" s="4" t="n">
        <x:f>P16*(1+'Assumptions'!F31)</x:f>
        <x:v>1.1236000000000002</x:v>
      </x:c>
      <x:c r="AI16" s="4" t="n">
        <x:f>P16*(1+'Assumptions'!F31)</x:f>
        <x:v>1.1236000000000002</x:v>
      </x:c>
      <x:c r="AJ16" s="4" t="n">
        <x:f>P16*(1+'Assumptions'!F31)</x:f>
        <x:v>1.1236000000000002</x:v>
      </x:c>
      <x:c r="AK16" s="4" t="n">
        <x:f>P16*(1+'Assumptions'!F31)</x:f>
        <x:v>1.1236000000000002</x:v>
      </x:c>
      <x:c r="AL16" s="4" t="n">
        <x:f>P16*(1+'Assumptions'!F31)</x:f>
        <x:v>1.1236000000000002</x:v>
      </x:c>
      <x:c r="AM16" s="4" t="n">
        <x:f>P16*(1+'Assumptions'!F31)</x:f>
        <x:v>1.1236000000000002</x:v>
      </x:c>
      <x:c r="AN16" s="2"/>
    </x:row>
    <x:row r="17" ht="21" customHeight="1">
      <x:c r="A17" s="1"/>
      <x:c r="B17" s="1"/>
      <x:c r="C17" s="1" t="str">
        <x:v>Fixed-cost index</x:v>
      </x:c>
      <x:c r="D17" s="9" t="n">
        <x:f>1</x:f>
        <x:v>1</x:v>
      </x:c>
      <x:c r="E17" s="9" t="n">
        <x:f>1</x:f>
        <x:v>1</x:v>
      </x:c>
      <x:c r="F17" s="9" t="n">
        <x:f>1</x:f>
        <x:v>1</x:v>
      </x:c>
      <x:c r="G17" s="9" t="n">
        <x:f>1</x:f>
        <x:v>1</x:v>
      </x:c>
      <x:c r="H17" s="9" t="n">
        <x:f>1</x:f>
        <x:v>1</x:v>
      </x:c>
      <x:c r="I17" s="9" t="n">
        <x:f>1</x:f>
        <x:v>1</x:v>
      </x:c>
      <x:c r="J17" s="9" t="n">
        <x:f>1</x:f>
        <x:v>1</x:v>
      </x:c>
      <x:c r="K17" s="9" t="n">
        <x:f>1</x:f>
        <x:v>1</x:v>
      </x:c>
      <x:c r="L17" s="9" t="n">
        <x:f>1</x:f>
        <x:v>1</x:v>
      </x:c>
      <x:c r="M17" s="9" t="n">
        <x:f>1</x:f>
        <x:v>1</x:v>
      </x:c>
      <x:c r="N17" s="9" t="n">
        <x:f>1</x:f>
        <x:v>1</x:v>
      </x:c>
      <x:c r="O17" s="9" t="n">
        <x:f>1</x:f>
        <x:v>1</x:v>
      </x:c>
      <x:c r="P17" s="4" t="n">
        <x:f>D17*(1+'Assumptions'!E38)</x:f>
        <x:v>1.03</x:v>
      </x:c>
      <x:c r="Q17" s="4" t="n">
        <x:f>D17*(1+'Assumptions'!E38)</x:f>
        <x:v>1.03</x:v>
      </x:c>
      <x:c r="R17" s="4" t="n">
        <x:f>D17*(1+'Assumptions'!E38)</x:f>
        <x:v>1.03</x:v>
      </x:c>
      <x:c r="S17" s="4" t="n">
        <x:f>D17*(1+'Assumptions'!E38)</x:f>
        <x:v>1.03</x:v>
      </x:c>
      <x:c r="T17" s="4" t="n">
        <x:f>D17*(1+'Assumptions'!E38)</x:f>
        <x:v>1.03</x:v>
      </x:c>
      <x:c r="U17" s="4" t="n">
        <x:f>D17*(1+'Assumptions'!E38)</x:f>
        <x:v>1.03</x:v>
      </x:c>
      <x:c r="V17" s="4" t="n">
        <x:f>D17*(1+'Assumptions'!E38)</x:f>
        <x:v>1.03</x:v>
      </x:c>
      <x:c r="W17" s="4" t="n">
        <x:f>D17*(1+'Assumptions'!E38)</x:f>
        <x:v>1.03</x:v>
      </x:c>
      <x:c r="X17" s="4" t="n">
        <x:f>D17*(1+'Assumptions'!E38)</x:f>
        <x:v>1.03</x:v>
      </x:c>
      <x:c r="Y17" s="4" t="n">
        <x:f>D17*(1+'Assumptions'!E38)</x:f>
        <x:v>1.03</x:v>
      </x:c>
      <x:c r="Z17" s="4" t="n">
        <x:f>D17*(1+'Assumptions'!E38)</x:f>
        <x:v>1.03</x:v>
      </x:c>
      <x:c r="AA17" s="4" t="n">
        <x:f>D17*(1+'Assumptions'!E38)</x:f>
        <x:v>1.03</x:v>
      </x:c>
      <x:c r="AB17" s="4" t="n">
        <x:f>P17*(1+'Assumptions'!F38)</x:f>
        <x:v>1.0609</x:v>
      </x:c>
      <x:c r="AC17" s="4" t="n">
        <x:f>P17*(1+'Assumptions'!F38)</x:f>
        <x:v>1.0609</x:v>
      </x:c>
      <x:c r="AD17" s="4" t="n">
        <x:f>P17*(1+'Assumptions'!F38)</x:f>
        <x:v>1.0609</x:v>
      </x:c>
      <x:c r="AE17" s="4" t="n">
        <x:f>P17*(1+'Assumptions'!F38)</x:f>
        <x:v>1.0609</x:v>
      </x:c>
      <x:c r="AF17" s="4" t="n">
        <x:f>P17*(1+'Assumptions'!F38)</x:f>
        <x:v>1.0609</x:v>
      </x:c>
      <x:c r="AG17" s="4" t="n">
        <x:f>P17*(1+'Assumptions'!F38)</x:f>
        <x:v>1.0609</x:v>
      </x:c>
      <x:c r="AH17" s="4" t="n">
        <x:f>P17*(1+'Assumptions'!F38)</x:f>
        <x:v>1.0609</x:v>
      </x:c>
      <x:c r="AI17" s="4" t="n">
        <x:f>P17*(1+'Assumptions'!F38)</x:f>
        <x:v>1.0609</x:v>
      </x:c>
      <x:c r="AJ17" s="4" t="n">
        <x:f>P17*(1+'Assumptions'!F38)</x:f>
        <x:v>1.0609</x:v>
      </x:c>
      <x:c r="AK17" s="4" t="n">
        <x:f>P17*(1+'Assumptions'!F38)</x:f>
        <x:v>1.0609</x:v>
      </x:c>
      <x:c r="AL17" s="4" t="n">
        <x:f>P17*(1+'Assumptions'!F38)</x:f>
        <x:v>1.0609</x:v>
      </x:c>
      <x:c r="AM17" s="4" t="n">
        <x:f>P17*(1+'Assumptions'!F38)</x:f>
        <x:v>1.0609</x:v>
      </x:c>
      <x:c r="AN17" s="2"/>
    </x:row>
    <x:row r="18" ht="21" customHeight="1">
      <x:c r="A18" s="1"/>
      <x:c r="B18" s="1"/>
      <x:c r="C18" s="1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1" customHeight="1">
      <x:c r="A19" s="1"/>
      <x:c r="B19" s="1"/>
      <x:c r="C19" s="1" t="str">
        <x:v>Morning paid visits</x:v>
      </x:c>
      <x:c r="D19" s="4" t="n">
        <x:f>'Assumptions'!D10*D10*D11*D12</x:f>
        <x:v>1500</x:v>
      </x:c>
      <x:c r="E19" s="4" t="n">
        <x:f>'Assumptions'!D10*E10*E11*E12</x:f>
        <x:v>1800</x:v>
      </x:c>
      <x:c r="F19" s="4" t="n">
        <x:f>'Assumptions'!D10*F10*F11*F12</x:f>
        <x:v>2100</x:v>
      </x:c>
      <x:c r="G19" s="4" t="n">
        <x:f>'Assumptions'!D10*G10*G11*G12</x:f>
        <x:v>2250</x:v>
      </x:c>
      <x:c r="H19" s="4" t="n">
        <x:f>'Assumptions'!D10*H10*H11*H12</x:f>
        <x:v>2400</x:v>
      </x:c>
      <x:c r="I19" s="4" t="n">
        <x:f>'Assumptions'!D10*I10*I11*I12</x:f>
        <x:v>2550</x:v>
      </x:c>
      <x:c r="J19" s="4" t="n">
        <x:f>'Assumptions'!D10*J10*J11*J12</x:f>
        <x:v>2700</x:v>
      </x:c>
      <x:c r="K19" s="4" t="n">
        <x:f>'Assumptions'!D10*K10*K11*K12</x:f>
        <x:v>2850</x:v>
      </x:c>
      <x:c r="L19" s="4" t="n">
        <x:f>'Assumptions'!D10*L10*L11*L12</x:f>
        <x:v>3000</x:v>
      </x:c>
      <x:c r="M19" s="4" t="n">
        <x:f>'Assumptions'!D10*M10*M11*M12</x:f>
        <x:v>3000</x:v>
      </x:c>
      <x:c r="N19" s="4" t="n">
        <x:f>'Assumptions'!D10*N10*N11*N12</x:f>
        <x:v>3000</x:v>
      </x:c>
      <x:c r="O19" s="4" t="n">
        <x:f>'Assumptions'!D10*O10*O11*O12</x:f>
        <x:v>3000</x:v>
      </x:c>
      <x:c r="P19" s="4" t="n">
        <x:f>'Assumptions'!E10*P10*P11*P12</x:f>
        <x:v>3000</x:v>
      </x:c>
      <x:c r="Q19" s="4" t="n">
        <x:f>'Assumptions'!E10*Q10*Q11*Q12</x:f>
        <x:v>3000</x:v>
      </x:c>
      <x:c r="R19" s="4" t="n">
        <x:f>'Assumptions'!E10*R10*R11*R12</x:f>
        <x:v>3000</x:v>
      </x:c>
      <x:c r="S19" s="4" t="n">
        <x:f>'Assumptions'!E10*S10*S11*S12</x:f>
        <x:v>3000</x:v>
      </x:c>
      <x:c r="T19" s="4" t="n">
        <x:f>'Assumptions'!E10*T10*T11*T12</x:f>
        <x:v>3000</x:v>
      </x:c>
      <x:c r="U19" s="4" t="n">
        <x:f>'Assumptions'!E10*U10*U11*U12</x:f>
        <x:v>3000</x:v>
      </x:c>
      <x:c r="V19" s="4" t="n">
        <x:f>'Assumptions'!E10*V10*V11*V12</x:f>
        <x:v>3000</x:v>
      </x:c>
      <x:c r="W19" s="4" t="n">
        <x:f>'Assumptions'!E10*W10*W11*W12</x:f>
        <x:v>3000</x:v>
      </x:c>
      <x:c r="X19" s="4" t="n">
        <x:f>'Assumptions'!E10*X10*X11*X12</x:f>
        <x:v>3000</x:v>
      </x:c>
      <x:c r="Y19" s="4" t="n">
        <x:f>'Assumptions'!E10*Y10*Y11*Y12</x:f>
        <x:v>3000</x:v>
      </x:c>
      <x:c r="Z19" s="4" t="n">
        <x:f>'Assumptions'!E10*Z10*Z11*Z12</x:f>
        <x:v>3000</x:v>
      </x:c>
      <x:c r="AA19" s="4" t="n">
        <x:f>'Assumptions'!E10*AA10*AA11*AA12</x:f>
        <x:v>3000</x:v>
      </x:c>
      <x:c r="AB19" s="4" t="n">
        <x:f>'Assumptions'!F10*AB10*AB11*AB12</x:f>
        <x:v>3000</x:v>
      </x:c>
      <x:c r="AC19" s="4" t="n">
        <x:f>'Assumptions'!F10*AC10*AC11*AC12</x:f>
        <x:v>3000</x:v>
      </x:c>
      <x:c r="AD19" s="4" t="n">
        <x:f>'Assumptions'!F10*AD10*AD11*AD12</x:f>
        <x:v>3000</x:v>
      </x:c>
      <x:c r="AE19" s="4" t="n">
        <x:f>'Assumptions'!F10*AE10*AE11*AE12</x:f>
        <x:v>3000</x:v>
      </x:c>
      <x:c r="AF19" s="4" t="n">
        <x:f>'Assumptions'!F10*AF10*AF11*AF12</x:f>
        <x:v>3000</x:v>
      </x:c>
      <x:c r="AG19" s="4" t="n">
        <x:f>'Assumptions'!F10*AG10*AG11*AG12</x:f>
        <x:v>3000</x:v>
      </x:c>
      <x:c r="AH19" s="4" t="n">
        <x:f>'Assumptions'!F10*AH10*AH11*AH12</x:f>
        <x:v>3000</x:v>
      </x:c>
      <x:c r="AI19" s="4" t="n">
        <x:f>'Assumptions'!F10*AI10*AI11*AI12</x:f>
        <x:v>3000</x:v>
      </x:c>
      <x:c r="AJ19" s="4" t="n">
        <x:f>'Assumptions'!F10*AJ10*AJ11*AJ12</x:f>
        <x:v>3000</x:v>
      </x:c>
      <x:c r="AK19" s="4" t="n">
        <x:f>'Assumptions'!F10*AK10*AK11*AK12</x:f>
        <x:v>3000</x:v>
      </x:c>
      <x:c r="AL19" s="4" t="n">
        <x:f>'Assumptions'!F10*AL10*AL11*AL12</x:f>
        <x:v>3000</x:v>
      </x:c>
      <x:c r="AM19" s="4" t="n">
        <x:f>'Assumptions'!F10*AM10*AM11*AM12</x:f>
        <x:v>3000</x:v>
      </x:c>
      <x:c r="AN19" s="2"/>
    </x:row>
    <x:row r="20" ht="21" customHeight="1">
      <x:c r="A20" s="1"/>
      <x:c r="B20" s="1"/>
      <x:c r="C20" s="1" t="str">
        <x:v>Lunch paid visits</x:v>
      </x:c>
      <x:c r="D20" s="4" t="n">
        <x:f>'Assumptions'!D11*D10*D11*D12</x:f>
        <x:v>525</x:v>
      </x:c>
      <x:c r="E20" s="4" t="n">
        <x:f>'Assumptions'!D11*E10*E11*E12</x:f>
        <x:v>630</x:v>
      </x:c>
      <x:c r="F20" s="4" t="n">
        <x:f>'Assumptions'!D11*F10*F11*F12</x:f>
        <x:v>735</x:v>
      </x:c>
      <x:c r="G20" s="4" t="n">
        <x:f>'Assumptions'!D11*G10*G11*G12</x:f>
        <x:v>787.5</x:v>
      </x:c>
      <x:c r="H20" s="4" t="n">
        <x:f>'Assumptions'!D11*H10*H11*H12</x:f>
        <x:v>840</x:v>
      </x:c>
      <x:c r="I20" s="4" t="n">
        <x:f>'Assumptions'!D11*I10*I11*I12</x:f>
        <x:v>892.5</x:v>
      </x:c>
      <x:c r="J20" s="4" t="n">
        <x:f>'Assumptions'!D11*J10*J11*J12</x:f>
        <x:v>945</x:v>
      </x:c>
      <x:c r="K20" s="4" t="n">
        <x:f>'Assumptions'!D11*K10*K11*K12</x:f>
        <x:v>997.5</x:v>
      </x:c>
      <x:c r="L20" s="4" t="n">
        <x:f>'Assumptions'!D11*L10*L11*L12</x:f>
        <x:v>1050</x:v>
      </x:c>
      <x:c r="M20" s="4" t="n">
        <x:f>'Assumptions'!D11*M10*M11*M12</x:f>
        <x:v>1050</x:v>
      </x:c>
      <x:c r="N20" s="4" t="n">
        <x:f>'Assumptions'!D11*N10*N11*N12</x:f>
        <x:v>1050</x:v>
      </x:c>
      <x:c r="O20" s="4" t="n">
        <x:f>'Assumptions'!D11*O10*O11*O12</x:f>
        <x:v>1050</x:v>
      </x:c>
      <x:c r="P20" s="4" t="n">
        <x:f>'Assumptions'!E11*P10*P11*P12</x:f>
        <x:v>1050</x:v>
      </x:c>
      <x:c r="Q20" s="4" t="n">
        <x:f>'Assumptions'!E11*Q10*Q11*Q12</x:f>
        <x:v>1050</x:v>
      </x:c>
      <x:c r="R20" s="4" t="n">
        <x:f>'Assumptions'!E11*R10*R11*R12</x:f>
        <x:v>1050</x:v>
      </x:c>
      <x:c r="S20" s="4" t="n">
        <x:f>'Assumptions'!E11*S10*S11*S12</x:f>
        <x:v>1050</x:v>
      </x:c>
      <x:c r="T20" s="4" t="n">
        <x:f>'Assumptions'!E11*T10*T11*T12</x:f>
        <x:v>1050</x:v>
      </x:c>
      <x:c r="U20" s="4" t="n">
        <x:f>'Assumptions'!E11*U10*U11*U12</x:f>
        <x:v>1050</x:v>
      </x:c>
      <x:c r="V20" s="4" t="n">
        <x:f>'Assumptions'!E11*V10*V11*V12</x:f>
        <x:v>1050</x:v>
      </x:c>
      <x:c r="W20" s="4" t="n">
        <x:f>'Assumptions'!E11*W10*W11*W12</x:f>
        <x:v>1050</x:v>
      </x:c>
      <x:c r="X20" s="4" t="n">
        <x:f>'Assumptions'!E11*X10*X11*X12</x:f>
        <x:v>1050</x:v>
      </x:c>
      <x:c r="Y20" s="4" t="n">
        <x:f>'Assumptions'!E11*Y10*Y11*Y12</x:f>
        <x:v>1050</x:v>
      </x:c>
      <x:c r="Z20" s="4" t="n">
        <x:f>'Assumptions'!E11*Z10*Z11*Z12</x:f>
        <x:v>1050</x:v>
      </x:c>
      <x:c r="AA20" s="4" t="n">
        <x:f>'Assumptions'!E11*AA10*AA11*AA12</x:f>
        <x:v>1050</x:v>
      </x:c>
      <x:c r="AB20" s="4" t="n">
        <x:f>'Assumptions'!F11*AB10*AB11*AB12</x:f>
        <x:v>1050</x:v>
      </x:c>
      <x:c r="AC20" s="4" t="n">
        <x:f>'Assumptions'!F11*AC10*AC11*AC12</x:f>
        <x:v>1050</x:v>
      </x:c>
      <x:c r="AD20" s="4" t="n">
        <x:f>'Assumptions'!F11*AD10*AD11*AD12</x:f>
        <x:v>1050</x:v>
      </x:c>
      <x:c r="AE20" s="4" t="n">
        <x:f>'Assumptions'!F11*AE10*AE11*AE12</x:f>
        <x:v>1050</x:v>
      </x:c>
      <x:c r="AF20" s="4" t="n">
        <x:f>'Assumptions'!F11*AF10*AF11*AF12</x:f>
        <x:v>1050</x:v>
      </x:c>
      <x:c r="AG20" s="4" t="n">
        <x:f>'Assumptions'!F11*AG10*AG11*AG12</x:f>
        <x:v>1050</x:v>
      </x:c>
      <x:c r="AH20" s="4" t="n">
        <x:f>'Assumptions'!F11*AH10*AH11*AH12</x:f>
        <x:v>1050</x:v>
      </x:c>
      <x:c r="AI20" s="4" t="n">
        <x:f>'Assumptions'!F11*AI10*AI11*AI12</x:f>
        <x:v>1050</x:v>
      </x:c>
      <x:c r="AJ20" s="4" t="n">
        <x:f>'Assumptions'!F11*AJ10*AJ11*AJ12</x:f>
        <x:v>1050</x:v>
      </x:c>
      <x:c r="AK20" s="4" t="n">
        <x:f>'Assumptions'!F11*AK10*AK11*AK12</x:f>
        <x:v>1050</x:v>
      </x:c>
      <x:c r="AL20" s="4" t="n">
        <x:f>'Assumptions'!F11*AL10*AL11*AL12</x:f>
        <x:v>1050</x:v>
      </x:c>
      <x:c r="AM20" s="4" t="n">
        <x:f>'Assumptions'!F11*AM10*AM11*AM12</x:f>
        <x:v>1050</x:v>
      </x:c>
      <x:c r="AN20" s="2"/>
    </x:row>
    <x:row r="21" ht="21" customHeight="1">
      <x:c r="A21" s="1"/>
      <x:c r="B21" s="1"/>
      <x:c r="C21" s="1" t="str">
        <x:v>Evening paid visits</x:v>
      </x:c>
      <x:c r="D21" s="4" t="n">
        <x:f>'Assumptions'!D12*D10*D11*D12</x:f>
        <x:v>675</x:v>
      </x:c>
      <x:c r="E21" s="4" t="n">
        <x:f>'Assumptions'!D12*E10*E11*E12</x:f>
        <x:v>810</x:v>
      </x:c>
      <x:c r="F21" s="4" t="n">
        <x:f>'Assumptions'!D12*F10*F11*F12</x:f>
        <x:v>944.9999999999999</x:v>
      </x:c>
      <x:c r="G21" s="4" t="n">
        <x:f>'Assumptions'!D12*G10*G11*G12</x:f>
        <x:v>1012.5</x:v>
      </x:c>
      <x:c r="H21" s="4" t="n">
        <x:f>'Assumptions'!D12*H10*H11*H12</x:f>
        <x:v>1080</x:v>
      </x:c>
      <x:c r="I21" s="4" t="n">
        <x:f>'Assumptions'!D12*I10*I11*I12</x:f>
        <x:v>1147.5</x:v>
      </x:c>
      <x:c r="J21" s="4" t="n">
        <x:f>'Assumptions'!D12*J10*J11*J12</x:f>
        <x:v>1215</x:v>
      </x:c>
      <x:c r="K21" s="4" t="n">
        <x:f>'Assumptions'!D12*K10*K11*K12</x:f>
        <x:v>1282.5</x:v>
      </x:c>
      <x:c r="L21" s="4" t="n">
        <x:f>'Assumptions'!D12*L10*L11*L12</x:f>
        <x:v>1350</x:v>
      </x:c>
      <x:c r="M21" s="4" t="n">
        <x:f>'Assumptions'!D12*M10*M11*M12</x:f>
        <x:v>1350</x:v>
      </x:c>
      <x:c r="N21" s="4" t="n">
        <x:f>'Assumptions'!D12*N10*N11*N12</x:f>
        <x:v>1350</x:v>
      </x:c>
      <x:c r="O21" s="4" t="n">
        <x:f>'Assumptions'!D12*O10*O11*O12</x:f>
        <x:v>1350</x:v>
      </x:c>
      <x:c r="P21" s="4" t="n">
        <x:f>'Assumptions'!E12*P10*P11*P12</x:f>
        <x:v>1350</x:v>
      </x:c>
      <x:c r="Q21" s="4" t="n">
        <x:f>'Assumptions'!E12*Q10*Q11*Q12</x:f>
        <x:v>1350</x:v>
      </x:c>
      <x:c r="R21" s="4" t="n">
        <x:f>'Assumptions'!E12*R10*R11*R12</x:f>
        <x:v>1350</x:v>
      </x:c>
      <x:c r="S21" s="4" t="n">
        <x:f>'Assumptions'!E12*S10*S11*S12</x:f>
        <x:v>1350</x:v>
      </x:c>
      <x:c r="T21" s="4" t="n">
        <x:f>'Assumptions'!E12*T10*T11*T12</x:f>
        <x:v>1350</x:v>
      </x:c>
      <x:c r="U21" s="4" t="n">
        <x:f>'Assumptions'!E12*U10*U11*U12</x:f>
        <x:v>1350</x:v>
      </x:c>
      <x:c r="V21" s="4" t="n">
        <x:f>'Assumptions'!E12*V10*V11*V12</x:f>
        <x:v>1350</x:v>
      </x:c>
      <x:c r="W21" s="4" t="n">
        <x:f>'Assumptions'!E12*W10*W11*W12</x:f>
        <x:v>1350</x:v>
      </x:c>
      <x:c r="X21" s="4" t="n">
        <x:f>'Assumptions'!E12*X10*X11*X12</x:f>
        <x:v>1350</x:v>
      </x:c>
      <x:c r="Y21" s="4" t="n">
        <x:f>'Assumptions'!E12*Y10*Y11*Y12</x:f>
        <x:v>1350</x:v>
      </x:c>
      <x:c r="Z21" s="4" t="n">
        <x:f>'Assumptions'!E12*Z10*Z11*Z12</x:f>
        <x:v>1350</x:v>
      </x:c>
      <x:c r="AA21" s="4" t="n">
        <x:f>'Assumptions'!E12*AA10*AA11*AA12</x:f>
        <x:v>1350</x:v>
      </x:c>
      <x:c r="AB21" s="4" t="n">
        <x:f>'Assumptions'!F12*AB10*AB11*AB12</x:f>
        <x:v>1350</x:v>
      </x:c>
      <x:c r="AC21" s="4" t="n">
        <x:f>'Assumptions'!F12*AC10*AC11*AC12</x:f>
        <x:v>1350</x:v>
      </x:c>
      <x:c r="AD21" s="4" t="n">
        <x:f>'Assumptions'!F12*AD10*AD11*AD12</x:f>
        <x:v>1350</x:v>
      </x:c>
      <x:c r="AE21" s="4" t="n">
        <x:f>'Assumptions'!F12*AE10*AE11*AE12</x:f>
        <x:v>1350</x:v>
      </x:c>
      <x:c r="AF21" s="4" t="n">
        <x:f>'Assumptions'!F12*AF10*AF11*AF12</x:f>
        <x:v>1350</x:v>
      </x:c>
      <x:c r="AG21" s="4" t="n">
        <x:f>'Assumptions'!F12*AG10*AG11*AG12</x:f>
        <x:v>1350</x:v>
      </x:c>
      <x:c r="AH21" s="4" t="n">
        <x:f>'Assumptions'!F12*AH10*AH11*AH12</x:f>
        <x:v>1350</x:v>
      </x:c>
      <x:c r="AI21" s="4" t="n">
        <x:f>'Assumptions'!F12*AI10*AI11*AI12</x:f>
        <x:v>1350</x:v>
      </x:c>
      <x:c r="AJ21" s="4" t="n">
        <x:f>'Assumptions'!F12*AJ10*AJ11*AJ12</x:f>
        <x:v>1350</x:v>
      </x:c>
      <x:c r="AK21" s="4" t="n">
        <x:f>'Assumptions'!F12*AK10*AK11*AK12</x:f>
        <x:v>1350</x:v>
      </x:c>
      <x:c r="AL21" s="4" t="n">
        <x:f>'Assumptions'!F12*AL10*AL11*AL12</x:f>
        <x:v>1350</x:v>
      </x:c>
      <x:c r="AM21" s="4" t="n">
        <x:f>'Assumptions'!F12*AM10*AM11*AM12</x:f>
        <x:v>1350</x:v>
      </x:c>
      <x:c r="AN21" s="2"/>
    </x:row>
    <x:row r="22" ht="21" customHeight="1">
      <x:c r="A22" s="1"/>
      <x:c r="B22" s="1"/>
      <x:c r="C22" s="1" t="str">
        <x:v>Total paid visits</x:v>
      </x:c>
      <x:c r="D22" s="9" t="n">
        <x:f>SUM(D19:D21)</x:f>
        <x:v>2700</x:v>
      </x:c>
      <x:c r="E22" s="9" t="n">
        <x:f>SUM(E19:E21)</x:f>
        <x:v>3240</x:v>
      </x:c>
      <x:c r="F22" s="9" t="n">
        <x:f>SUM(F19:F21)</x:f>
        <x:v>3780</x:v>
      </x:c>
      <x:c r="G22" s="9" t="n">
        <x:f>SUM(G19:G21)</x:f>
        <x:v>4050</x:v>
      </x:c>
      <x:c r="H22" s="9" t="n">
        <x:f>SUM(H19:H21)</x:f>
        <x:v>4320</x:v>
      </x:c>
      <x:c r="I22" s="9" t="n">
        <x:f>SUM(I19:I21)</x:f>
        <x:v>4590</x:v>
      </x:c>
      <x:c r="J22" s="9" t="n">
        <x:f>SUM(J19:J21)</x:f>
        <x:v>4860</x:v>
      </x:c>
      <x:c r="K22" s="9" t="n">
        <x:f>SUM(K19:K21)</x:f>
        <x:v>5130</x:v>
      </x:c>
      <x:c r="L22" s="9" t="n">
        <x:f>SUM(L19:L21)</x:f>
        <x:v>5400</x:v>
      </x:c>
      <x:c r="M22" s="9" t="n">
        <x:f>SUM(M19:M21)</x:f>
        <x:v>5400</x:v>
      </x:c>
      <x:c r="N22" s="9" t="n">
        <x:f>SUM(N19:N21)</x:f>
        <x:v>5400</x:v>
      </x:c>
      <x:c r="O22" s="9" t="n">
        <x:f>SUM(O19:O21)</x:f>
        <x:v>5400</x:v>
      </x:c>
      <x:c r="P22" s="9" t="n">
        <x:f>SUM(P19:P21)</x:f>
        <x:v>5400</x:v>
      </x:c>
      <x:c r="Q22" s="9" t="n">
        <x:f>SUM(Q19:Q21)</x:f>
        <x:v>5400</x:v>
      </x:c>
      <x:c r="R22" s="9" t="n">
        <x:f>SUM(R19:R21)</x:f>
        <x:v>5400</x:v>
      </x:c>
      <x:c r="S22" s="9" t="n">
        <x:f>SUM(S19:S21)</x:f>
        <x:v>5400</x:v>
      </x:c>
      <x:c r="T22" s="9" t="n">
        <x:f>SUM(T19:T21)</x:f>
        <x:v>5400</x:v>
      </x:c>
      <x:c r="U22" s="9" t="n">
        <x:f>SUM(U19:U21)</x:f>
        <x:v>5400</x:v>
      </x:c>
      <x:c r="V22" s="9" t="n">
        <x:f>SUM(V19:V21)</x:f>
        <x:v>5400</x:v>
      </x:c>
      <x:c r="W22" s="9" t="n">
        <x:f>SUM(W19:W21)</x:f>
        <x:v>5400</x:v>
      </x:c>
      <x:c r="X22" s="9" t="n">
        <x:f>SUM(X19:X21)</x:f>
        <x:v>5400</x:v>
      </x:c>
      <x:c r="Y22" s="9" t="n">
        <x:f>SUM(Y19:Y21)</x:f>
        <x:v>5400</x:v>
      </x:c>
      <x:c r="Z22" s="9" t="n">
        <x:f>SUM(Z19:Z21)</x:f>
        <x:v>5400</x:v>
      </x:c>
      <x:c r="AA22" s="9" t="n">
        <x:f>SUM(AA19:AA21)</x:f>
        <x:v>5400</x:v>
      </x:c>
      <x:c r="AB22" s="9" t="n">
        <x:f>SUM(AB19:AB21)</x:f>
        <x:v>5400</x:v>
      </x:c>
      <x:c r="AC22" s="9" t="n">
        <x:f>SUM(AC19:AC21)</x:f>
        <x:v>5400</x:v>
      </x:c>
      <x:c r="AD22" s="9" t="n">
        <x:f>SUM(AD19:AD21)</x:f>
        <x:v>5400</x:v>
      </x:c>
      <x:c r="AE22" s="9" t="n">
        <x:f>SUM(AE19:AE21)</x:f>
        <x:v>5400</x:v>
      </x:c>
      <x:c r="AF22" s="9" t="n">
        <x:f>SUM(AF19:AF21)</x:f>
        <x:v>5400</x:v>
      </x:c>
      <x:c r="AG22" s="9" t="n">
        <x:f>SUM(AG19:AG21)</x:f>
        <x:v>5400</x:v>
      </x:c>
      <x:c r="AH22" s="9" t="n">
        <x:f>SUM(AH19:AH21)</x:f>
        <x:v>5400</x:v>
      </x:c>
      <x:c r="AI22" s="9" t="n">
        <x:f>SUM(AI19:AI21)</x:f>
        <x:v>5400</x:v>
      </x:c>
      <x:c r="AJ22" s="9" t="n">
        <x:f>SUM(AJ19:AJ21)</x:f>
        <x:v>5400</x:v>
      </x:c>
      <x:c r="AK22" s="9" t="n">
        <x:f>SUM(AK19:AK21)</x:f>
        <x:v>5400</x:v>
      </x:c>
      <x:c r="AL22" s="9" t="n">
        <x:f>SUM(AL19:AL21)</x:f>
        <x:v>5400</x:v>
      </x:c>
      <x:c r="AM22" s="9" t="n">
        <x:f>SUM(AM19:AM21)</x:f>
        <x:v>5400</x:v>
      </x:c>
      <x:c r="AN22" s="2"/>
    </x:row>
    <x:row r="23" ht="21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1" customHeight="1">
      <x:c r="A24" s="1"/>
      <x:c r="B24" s="1"/>
      <x:c r="C24" s="1" t="str">
        <x:v>Morning sales</x:v>
      </x:c>
      <x:c r="D24" s="4" t="n">
        <x:f>D19*'Assumptions'!D13*D13</x:f>
        <x:v>13500</x:v>
      </x:c>
      <x:c r="E24" s="4" t="n">
        <x:f>E19*'Assumptions'!D13*E13</x:f>
        <x:v>16200</x:v>
      </x:c>
      <x:c r="F24" s="4" t="n">
        <x:f>F19*'Assumptions'!D13*F13</x:f>
        <x:v>18900</x:v>
      </x:c>
      <x:c r="G24" s="4" t="n">
        <x:f>G19*'Assumptions'!D13*G13</x:f>
        <x:v>20250</x:v>
      </x:c>
      <x:c r="H24" s="4" t="n">
        <x:f>H19*'Assumptions'!D13*H13</x:f>
        <x:v>21600</x:v>
      </x:c>
      <x:c r="I24" s="4" t="n">
        <x:f>I19*'Assumptions'!D13*I13</x:f>
        <x:v>22950</x:v>
      </x:c>
      <x:c r="J24" s="4" t="n">
        <x:f>J19*'Assumptions'!D13*J13</x:f>
        <x:v>24300</x:v>
      </x:c>
      <x:c r="K24" s="4" t="n">
        <x:f>K19*'Assumptions'!D13*K13</x:f>
        <x:v>25650</x:v>
      </x:c>
      <x:c r="L24" s="4" t="n">
        <x:f>L19*'Assumptions'!D13*L13</x:f>
        <x:v>27000</x:v>
      </x:c>
      <x:c r="M24" s="4" t="n">
        <x:f>M19*'Assumptions'!D13*M13</x:f>
        <x:v>27000</x:v>
      </x:c>
      <x:c r="N24" s="4" t="n">
        <x:f>N19*'Assumptions'!D13*N13</x:f>
        <x:v>27000</x:v>
      </x:c>
      <x:c r="O24" s="4" t="n">
        <x:f>O19*'Assumptions'!D13*O13</x:f>
        <x:v>27000</x:v>
      </x:c>
      <x:c r="P24" s="4" t="n">
        <x:f>P19*'Assumptions'!E13*P13</x:f>
        <x:v>27810</x:v>
      </x:c>
      <x:c r="Q24" s="4" t="n">
        <x:f>Q19*'Assumptions'!E13*Q13</x:f>
        <x:v>27810</x:v>
      </x:c>
      <x:c r="R24" s="4" t="n">
        <x:f>R19*'Assumptions'!E13*R13</x:f>
        <x:v>27810</x:v>
      </x:c>
      <x:c r="S24" s="4" t="n">
        <x:f>S19*'Assumptions'!E13*S13</x:f>
        <x:v>27810</x:v>
      </x:c>
      <x:c r="T24" s="4" t="n">
        <x:f>T19*'Assumptions'!E13*T13</x:f>
        <x:v>27810</x:v>
      </x:c>
      <x:c r="U24" s="4" t="n">
        <x:f>U19*'Assumptions'!E13*U13</x:f>
        <x:v>27810</x:v>
      </x:c>
      <x:c r="V24" s="4" t="n">
        <x:f>V19*'Assumptions'!E13*V13</x:f>
        <x:v>27810</x:v>
      </x:c>
      <x:c r="W24" s="4" t="n">
        <x:f>W19*'Assumptions'!E13*W13</x:f>
        <x:v>27810</x:v>
      </x:c>
      <x:c r="X24" s="4" t="n">
        <x:f>X19*'Assumptions'!E13*X13</x:f>
        <x:v>27810</x:v>
      </x:c>
      <x:c r="Y24" s="4" t="n">
        <x:f>Y19*'Assumptions'!E13*Y13</x:f>
        <x:v>27810</x:v>
      </x:c>
      <x:c r="Z24" s="4" t="n">
        <x:f>Z19*'Assumptions'!E13*Z13</x:f>
        <x:v>27810</x:v>
      </x:c>
      <x:c r="AA24" s="4" t="n">
        <x:f>AA19*'Assumptions'!E13*AA13</x:f>
        <x:v>27810</x:v>
      </x:c>
      <x:c r="AB24" s="4" t="n">
        <x:f>AB19*'Assumptions'!F13*AB13</x:f>
        <x:v>28644.3</x:v>
      </x:c>
      <x:c r="AC24" s="4" t="n">
        <x:f>AC19*'Assumptions'!F13*AC13</x:f>
        <x:v>28644.3</x:v>
      </x:c>
      <x:c r="AD24" s="4" t="n">
        <x:f>AD19*'Assumptions'!F13*AD13</x:f>
        <x:v>28644.3</x:v>
      </x:c>
      <x:c r="AE24" s="4" t="n">
        <x:f>AE19*'Assumptions'!F13*AE13</x:f>
        <x:v>28644.3</x:v>
      </x:c>
      <x:c r="AF24" s="4" t="n">
        <x:f>AF19*'Assumptions'!F13*AF13</x:f>
        <x:v>28644.3</x:v>
      </x:c>
      <x:c r="AG24" s="4" t="n">
        <x:f>AG19*'Assumptions'!F13*AG13</x:f>
        <x:v>28644.3</x:v>
      </x:c>
      <x:c r="AH24" s="4" t="n">
        <x:f>AH19*'Assumptions'!F13*AH13</x:f>
        <x:v>28644.3</x:v>
      </x:c>
      <x:c r="AI24" s="4" t="n">
        <x:f>AI19*'Assumptions'!F13*AI13</x:f>
        <x:v>28644.3</x:v>
      </x:c>
      <x:c r="AJ24" s="4" t="n">
        <x:f>AJ19*'Assumptions'!F13*AJ13</x:f>
        <x:v>28644.3</x:v>
      </x:c>
      <x:c r="AK24" s="4" t="n">
        <x:f>AK19*'Assumptions'!F13*AK13</x:f>
        <x:v>28644.3</x:v>
      </x:c>
      <x:c r="AL24" s="4" t="n">
        <x:f>AL19*'Assumptions'!F13*AL13</x:f>
        <x:v>28644.3</x:v>
      </x:c>
      <x:c r="AM24" s="4" t="n">
        <x:f>AM19*'Assumptions'!F13*AM13</x:f>
        <x:v>28644.3</x:v>
      </x:c>
      <x:c r="AN24" s="2"/>
    </x:row>
    <x:row r="25" ht="21" customHeight="1">
      <x:c r="A25" s="1"/>
      <x:c r="B25" s="1"/>
      <x:c r="C25" s="1" t="str">
        <x:v>Lunch sales</x:v>
      </x:c>
      <x:c r="D25" s="4" t="n">
        <x:f>D20*'Assumptions'!D14*D13</x:f>
        <x:v>9450</x:v>
      </x:c>
      <x:c r="E25" s="4" t="n">
        <x:f>E20*'Assumptions'!D14*E13</x:f>
        <x:v>11340</x:v>
      </x:c>
      <x:c r="F25" s="4" t="n">
        <x:f>F20*'Assumptions'!D14*F13</x:f>
        <x:v>13230</x:v>
      </x:c>
      <x:c r="G25" s="4" t="n">
        <x:f>G20*'Assumptions'!D14*G13</x:f>
        <x:v>14175</x:v>
      </x:c>
      <x:c r="H25" s="4" t="n">
        <x:f>H20*'Assumptions'!D14*H13</x:f>
        <x:v>15120</x:v>
      </x:c>
      <x:c r="I25" s="4" t="n">
        <x:f>I20*'Assumptions'!D14*I13</x:f>
        <x:v>16065</x:v>
      </x:c>
      <x:c r="J25" s="4" t="n">
        <x:f>J20*'Assumptions'!D14*J13</x:f>
        <x:v>17010</x:v>
      </x:c>
      <x:c r="K25" s="4" t="n">
        <x:f>K20*'Assumptions'!D14*K13</x:f>
        <x:v>17955</x:v>
      </x:c>
      <x:c r="L25" s="4" t="n">
        <x:f>L20*'Assumptions'!D14*L13</x:f>
        <x:v>18900</x:v>
      </x:c>
      <x:c r="M25" s="4" t="n">
        <x:f>M20*'Assumptions'!D14*M13</x:f>
        <x:v>18900</x:v>
      </x:c>
      <x:c r="N25" s="4" t="n">
        <x:f>N20*'Assumptions'!D14*N13</x:f>
        <x:v>18900</x:v>
      </x:c>
      <x:c r="O25" s="4" t="n">
        <x:f>O20*'Assumptions'!D14*O13</x:f>
        <x:v>18900</x:v>
      </x:c>
      <x:c r="P25" s="4" t="n">
        <x:f>P20*'Assumptions'!E14*P13</x:f>
        <x:v>19467</x:v>
      </x:c>
      <x:c r="Q25" s="4" t="n">
        <x:f>Q20*'Assumptions'!E14*Q13</x:f>
        <x:v>19467</x:v>
      </x:c>
      <x:c r="R25" s="4" t="n">
        <x:f>R20*'Assumptions'!E14*R13</x:f>
        <x:v>19467</x:v>
      </x:c>
      <x:c r="S25" s="4" t="n">
        <x:f>S20*'Assumptions'!E14*S13</x:f>
        <x:v>19467</x:v>
      </x:c>
      <x:c r="T25" s="4" t="n">
        <x:f>T20*'Assumptions'!E14*T13</x:f>
        <x:v>19467</x:v>
      </x:c>
      <x:c r="U25" s="4" t="n">
        <x:f>U20*'Assumptions'!E14*U13</x:f>
        <x:v>19467</x:v>
      </x:c>
      <x:c r="V25" s="4" t="n">
        <x:f>V20*'Assumptions'!E14*V13</x:f>
        <x:v>19467</x:v>
      </x:c>
      <x:c r="W25" s="4" t="n">
        <x:f>W20*'Assumptions'!E14*W13</x:f>
        <x:v>19467</x:v>
      </x:c>
      <x:c r="X25" s="4" t="n">
        <x:f>X20*'Assumptions'!E14*X13</x:f>
        <x:v>19467</x:v>
      </x:c>
      <x:c r="Y25" s="4" t="n">
        <x:f>Y20*'Assumptions'!E14*Y13</x:f>
        <x:v>19467</x:v>
      </x:c>
      <x:c r="Z25" s="4" t="n">
        <x:f>Z20*'Assumptions'!E14*Z13</x:f>
        <x:v>19467</x:v>
      </x:c>
      <x:c r="AA25" s="4" t="n">
        <x:f>AA20*'Assumptions'!E14*AA13</x:f>
        <x:v>19467</x:v>
      </x:c>
      <x:c r="AB25" s="4" t="n">
        <x:f>AB20*'Assumptions'!F14*AB13</x:f>
        <x:v>20051.01</x:v>
      </x:c>
      <x:c r="AC25" s="4" t="n">
        <x:f>AC20*'Assumptions'!F14*AC13</x:f>
        <x:v>20051.01</x:v>
      </x:c>
      <x:c r="AD25" s="4" t="n">
        <x:f>AD20*'Assumptions'!F14*AD13</x:f>
        <x:v>20051.01</x:v>
      </x:c>
      <x:c r="AE25" s="4" t="n">
        <x:f>AE20*'Assumptions'!F14*AE13</x:f>
        <x:v>20051.01</x:v>
      </x:c>
      <x:c r="AF25" s="4" t="n">
        <x:f>AF20*'Assumptions'!F14*AF13</x:f>
        <x:v>20051.01</x:v>
      </x:c>
      <x:c r="AG25" s="4" t="n">
        <x:f>AG20*'Assumptions'!F14*AG13</x:f>
        <x:v>20051.01</x:v>
      </x:c>
      <x:c r="AH25" s="4" t="n">
        <x:f>AH20*'Assumptions'!F14*AH13</x:f>
        <x:v>20051.01</x:v>
      </x:c>
      <x:c r="AI25" s="4" t="n">
        <x:f>AI20*'Assumptions'!F14*AI13</x:f>
        <x:v>20051.01</x:v>
      </x:c>
      <x:c r="AJ25" s="4" t="n">
        <x:f>AJ20*'Assumptions'!F14*AJ13</x:f>
        <x:v>20051.01</x:v>
      </x:c>
      <x:c r="AK25" s="4" t="n">
        <x:f>AK20*'Assumptions'!F14*AK13</x:f>
        <x:v>20051.01</x:v>
      </x:c>
      <x:c r="AL25" s="4" t="n">
        <x:f>AL20*'Assumptions'!F14*AL13</x:f>
        <x:v>20051.01</x:v>
      </x:c>
      <x:c r="AM25" s="4" t="n">
        <x:f>AM20*'Assumptions'!F14*AM13</x:f>
        <x:v>20051.01</x:v>
      </x:c>
      <x:c r="AN25" s="2"/>
    </x:row>
    <x:row r="26" ht="21" customHeight="1">
      <x:c r="A26" s="1"/>
      <x:c r="B26" s="1"/>
      <x:c r="C26" s="1" t="str">
        <x:v>Evening sales</x:v>
      </x:c>
      <x:c r="D26" s="4" t="n">
        <x:f>D21*'Assumptions'!D15*D13</x:f>
        <x:v>27000</x:v>
      </x:c>
      <x:c r="E26" s="4" t="n">
        <x:f>E21*'Assumptions'!D15*E13</x:f>
        <x:v>32400</x:v>
      </x:c>
      <x:c r="F26" s="4" t="n">
        <x:f>F21*'Assumptions'!D15*F13</x:f>
        <x:v>37799.99999999999</x:v>
      </x:c>
      <x:c r="G26" s="4" t="n">
        <x:f>G21*'Assumptions'!D15*G13</x:f>
        <x:v>40500</x:v>
      </x:c>
      <x:c r="H26" s="4" t="n">
        <x:f>H21*'Assumptions'!D15*H13</x:f>
        <x:v>43200</x:v>
      </x:c>
      <x:c r="I26" s="4" t="n">
        <x:f>I21*'Assumptions'!D15*I13</x:f>
        <x:v>45900</x:v>
      </x:c>
      <x:c r="J26" s="4" t="n">
        <x:f>J21*'Assumptions'!D15*J13</x:f>
        <x:v>48600</x:v>
      </x:c>
      <x:c r="K26" s="4" t="n">
        <x:f>K21*'Assumptions'!D15*K13</x:f>
        <x:v>51300</x:v>
      </x:c>
      <x:c r="L26" s="4" t="n">
        <x:f>L21*'Assumptions'!D15*L13</x:f>
        <x:v>54000</x:v>
      </x:c>
      <x:c r="M26" s="4" t="n">
        <x:f>M21*'Assumptions'!D15*M13</x:f>
        <x:v>54000</x:v>
      </x:c>
      <x:c r="N26" s="4" t="n">
        <x:f>N21*'Assumptions'!D15*N13</x:f>
        <x:v>54000</x:v>
      </x:c>
      <x:c r="O26" s="4" t="n">
        <x:f>O21*'Assumptions'!D15*O13</x:f>
        <x:v>54000</x:v>
      </x:c>
      <x:c r="P26" s="4" t="n">
        <x:f>P21*'Assumptions'!E15*P13</x:f>
        <x:v>55620</x:v>
      </x:c>
      <x:c r="Q26" s="4" t="n">
        <x:f>Q21*'Assumptions'!E15*Q13</x:f>
        <x:v>55620</x:v>
      </x:c>
      <x:c r="R26" s="4" t="n">
        <x:f>R21*'Assumptions'!E15*R13</x:f>
        <x:v>55620</x:v>
      </x:c>
      <x:c r="S26" s="4" t="n">
        <x:f>S21*'Assumptions'!E15*S13</x:f>
        <x:v>55620</x:v>
      </x:c>
      <x:c r="T26" s="4" t="n">
        <x:f>T21*'Assumptions'!E15*T13</x:f>
        <x:v>55620</x:v>
      </x:c>
      <x:c r="U26" s="4" t="n">
        <x:f>U21*'Assumptions'!E15*U13</x:f>
        <x:v>55620</x:v>
      </x:c>
      <x:c r="V26" s="4" t="n">
        <x:f>V21*'Assumptions'!E15*V13</x:f>
        <x:v>55620</x:v>
      </x:c>
      <x:c r="W26" s="4" t="n">
        <x:f>W21*'Assumptions'!E15*W13</x:f>
        <x:v>55620</x:v>
      </x:c>
      <x:c r="X26" s="4" t="n">
        <x:f>X21*'Assumptions'!E15*X13</x:f>
        <x:v>55620</x:v>
      </x:c>
      <x:c r="Y26" s="4" t="n">
        <x:f>Y21*'Assumptions'!E15*Y13</x:f>
        <x:v>55620</x:v>
      </x:c>
      <x:c r="Z26" s="4" t="n">
        <x:f>Z21*'Assumptions'!E15*Z13</x:f>
        <x:v>55620</x:v>
      </x:c>
      <x:c r="AA26" s="4" t="n">
        <x:f>AA21*'Assumptions'!E15*AA13</x:f>
        <x:v>55620</x:v>
      </x:c>
      <x:c r="AB26" s="4" t="n">
        <x:f>AB21*'Assumptions'!F15*AB13</x:f>
        <x:v>57288.6</x:v>
      </x:c>
      <x:c r="AC26" s="4" t="n">
        <x:f>AC21*'Assumptions'!F15*AC13</x:f>
        <x:v>57288.6</x:v>
      </x:c>
      <x:c r="AD26" s="4" t="n">
        <x:f>AD21*'Assumptions'!F15*AD13</x:f>
        <x:v>57288.6</x:v>
      </x:c>
      <x:c r="AE26" s="4" t="n">
        <x:f>AE21*'Assumptions'!F15*AE13</x:f>
        <x:v>57288.6</x:v>
      </x:c>
      <x:c r="AF26" s="4" t="n">
        <x:f>AF21*'Assumptions'!F15*AF13</x:f>
        <x:v>57288.6</x:v>
      </x:c>
      <x:c r="AG26" s="4" t="n">
        <x:f>AG21*'Assumptions'!F15*AG13</x:f>
        <x:v>57288.6</x:v>
      </x:c>
      <x:c r="AH26" s="4" t="n">
        <x:f>AH21*'Assumptions'!F15*AH13</x:f>
        <x:v>57288.6</x:v>
      </x:c>
      <x:c r="AI26" s="4" t="n">
        <x:f>AI21*'Assumptions'!F15*AI13</x:f>
        <x:v>57288.6</x:v>
      </x:c>
      <x:c r="AJ26" s="4" t="n">
        <x:f>AJ21*'Assumptions'!F15*AJ13</x:f>
        <x:v>57288.6</x:v>
      </x:c>
      <x:c r="AK26" s="4" t="n">
        <x:f>AK21*'Assumptions'!F15*AK13</x:f>
        <x:v>57288.6</x:v>
      </x:c>
      <x:c r="AL26" s="4" t="n">
        <x:f>AL21*'Assumptions'!F15*AL13</x:f>
        <x:v>57288.6</x:v>
      </x:c>
      <x:c r="AM26" s="4" t="n">
        <x:f>AM21*'Assumptions'!F15*AM13</x:f>
        <x:v>57288.6</x:v>
      </x:c>
      <x:c r="AN26" s="2"/>
    </x:row>
    <x:row r="27" ht="21" customHeight="1">
      <x:c r="A27" s="1"/>
      <x:c r="B27" s="1"/>
      <x:c r="C27" s="1" t="str">
        <x:v>Net sales</x:v>
      </x:c>
      <x:c r="D27" s="9" t="n">
        <x:f>SUM(D24:D26)</x:f>
        <x:v>49950</x:v>
      </x:c>
      <x:c r="E27" s="9" t="n">
        <x:f>SUM(E24:E26)</x:f>
        <x:v>59940</x:v>
      </x:c>
      <x:c r="F27" s="9" t="n">
        <x:f>SUM(F24:F26)</x:f>
        <x:v>69930</x:v>
      </x:c>
      <x:c r="G27" s="9" t="n">
        <x:f>SUM(G24:G26)</x:f>
        <x:v>74925</x:v>
      </x:c>
      <x:c r="H27" s="9" t="n">
        <x:f>SUM(H24:H26)</x:f>
        <x:v>79920</x:v>
      </x:c>
      <x:c r="I27" s="9" t="n">
        <x:f>SUM(I24:I26)</x:f>
        <x:v>84915</x:v>
      </x:c>
      <x:c r="J27" s="9" t="n">
        <x:f>SUM(J24:J26)</x:f>
        <x:v>89910</x:v>
      </x:c>
      <x:c r="K27" s="9" t="n">
        <x:f>SUM(K24:K26)</x:f>
        <x:v>94905</x:v>
      </x:c>
      <x:c r="L27" s="9" t="n">
        <x:f>SUM(L24:L26)</x:f>
        <x:v>99900</x:v>
      </x:c>
      <x:c r="M27" s="9" t="n">
        <x:f>SUM(M24:M26)</x:f>
        <x:v>99900</x:v>
      </x:c>
      <x:c r="N27" s="9" t="n">
        <x:f>SUM(N24:N26)</x:f>
        <x:v>99900</x:v>
      </x:c>
      <x:c r="O27" s="9" t="n">
        <x:f>SUM(O24:O26)</x:f>
        <x:v>99900</x:v>
      </x:c>
      <x:c r="P27" s="9" t="n">
        <x:f>SUM(P24:P26)</x:f>
        <x:v>102897</x:v>
      </x:c>
      <x:c r="Q27" s="9" t="n">
        <x:f>SUM(Q24:Q26)</x:f>
        <x:v>102897</x:v>
      </x:c>
      <x:c r="R27" s="9" t="n">
        <x:f>SUM(R24:R26)</x:f>
        <x:v>102897</x:v>
      </x:c>
      <x:c r="S27" s="9" t="n">
        <x:f>SUM(S24:S26)</x:f>
        <x:v>102897</x:v>
      </x:c>
      <x:c r="T27" s="9" t="n">
        <x:f>SUM(T24:T26)</x:f>
        <x:v>102897</x:v>
      </x:c>
      <x:c r="U27" s="9" t="n">
        <x:f>SUM(U24:U26)</x:f>
        <x:v>102897</x:v>
      </x:c>
      <x:c r="V27" s="9" t="n">
        <x:f>SUM(V24:V26)</x:f>
        <x:v>102897</x:v>
      </x:c>
      <x:c r="W27" s="9" t="n">
        <x:f>SUM(W24:W26)</x:f>
        <x:v>102897</x:v>
      </x:c>
      <x:c r="X27" s="9" t="n">
        <x:f>SUM(X24:X26)</x:f>
        <x:v>102897</x:v>
      </x:c>
      <x:c r="Y27" s="9" t="n">
        <x:f>SUM(Y24:Y26)</x:f>
        <x:v>102897</x:v>
      </x:c>
      <x:c r="Z27" s="9" t="n">
        <x:f>SUM(Z24:Z26)</x:f>
        <x:v>102897</x:v>
      </x:c>
      <x:c r="AA27" s="9" t="n">
        <x:f>SUM(AA24:AA26)</x:f>
        <x:v>102897</x:v>
      </x:c>
      <x:c r="AB27" s="9" t="n">
        <x:f>SUM(AB24:AB26)</x:f>
        <x:v>105983.91</x:v>
      </x:c>
      <x:c r="AC27" s="9" t="n">
        <x:f>SUM(AC24:AC26)</x:f>
        <x:v>105983.91</x:v>
      </x:c>
      <x:c r="AD27" s="9" t="n">
        <x:f>SUM(AD24:AD26)</x:f>
        <x:v>105983.91</x:v>
      </x:c>
      <x:c r="AE27" s="9" t="n">
        <x:f>SUM(AE24:AE26)</x:f>
        <x:v>105983.91</x:v>
      </x:c>
      <x:c r="AF27" s="9" t="n">
        <x:f>SUM(AF24:AF26)</x:f>
        <x:v>105983.91</x:v>
      </x:c>
      <x:c r="AG27" s="9" t="n">
        <x:f>SUM(AG24:AG26)</x:f>
        <x:v>105983.91</x:v>
      </x:c>
      <x:c r="AH27" s="9" t="n">
        <x:f>SUM(AH24:AH26)</x:f>
        <x:v>105983.91</x:v>
      </x:c>
      <x:c r="AI27" s="9" t="n">
        <x:f>SUM(AI24:AI26)</x:f>
        <x:v>105983.91</x:v>
      </x:c>
      <x:c r="AJ27" s="9" t="n">
        <x:f>SUM(AJ24:AJ26)</x:f>
        <x:v>105983.91</x:v>
      </x:c>
      <x:c r="AK27" s="9" t="n">
        <x:f>SUM(AK24:AK26)</x:f>
        <x:v>105983.91</x:v>
      </x:c>
      <x:c r="AL27" s="9" t="n">
        <x:f>SUM(AL24:AL26)</x:f>
        <x:v>105983.91</x:v>
      </x:c>
      <x:c r="AM27" s="9" t="n">
        <x:f>SUM(AM24:AM26)</x:f>
        <x:v>105983.91</x:v>
      </x:c>
      <x:c r="AN27" s="2"/>
    </x:row>
    <x:row r="28" ht="21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1" customHeight="1">
      <x:c r="A29" s="1"/>
      <x:c r="B29" s="1"/>
      <x:c r="C29" s="1" t="str">
        <x:v>Morning product cost</x:v>
      </x:c>
      <x:c r="D29" s="4" t="n">
        <x:f>D19*'Assumptions'!D13*'Assumptions'!D18*D14</x:f>
        <x:v>3780.0000000000005</x:v>
      </x:c>
      <x:c r="E29" s="4" t="n">
        <x:f>E19*'Assumptions'!D13*'Assumptions'!D18*E14</x:f>
        <x:v>4536</x:v>
      </x:c>
      <x:c r="F29" s="4" t="n">
        <x:f>F19*'Assumptions'!D13*'Assumptions'!D18*F14</x:f>
        <x:v>5292.000000000001</x:v>
      </x:c>
      <x:c r="G29" s="4" t="n">
        <x:f>G19*'Assumptions'!D13*'Assumptions'!D18*G14</x:f>
        <x:v>5670.000000000001</x:v>
      </x:c>
      <x:c r="H29" s="4" t="n">
        <x:f>H19*'Assumptions'!D13*'Assumptions'!D18*H14</x:f>
        <x:v>6048.000000000001</x:v>
      </x:c>
      <x:c r="I29" s="4" t="n">
        <x:f>I19*'Assumptions'!D13*'Assumptions'!D18*I14</x:f>
        <x:v>6426.000000000001</x:v>
      </x:c>
      <x:c r="J29" s="4" t="n">
        <x:f>J19*'Assumptions'!D13*'Assumptions'!D18*J14</x:f>
        <x:v>6804.000000000001</x:v>
      </x:c>
      <x:c r="K29" s="4" t="n">
        <x:f>K19*'Assumptions'!D13*'Assumptions'!D18*K14</x:f>
        <x:v>7182.000000000001</x:v>
      </x:c>
      <x:c r="L29" s="4" t="n">
        <x:f>L19*'Assumptions'!D13*'Assumptions'!D18*L14</x:f>
        <x:v>7560.000000000001</x:v>
      </x:c>
      <x:c r="M29" s="4" t="n">
        <x:f>M19*'Assumptions'!D13*'Assumptions'!D18*M14</x:f>
        <x:v>7560.000000000001</x:v>
      </x:c>
      <x:c r="N29" s="4" t="n">
        <x:f>N19*'Assumptions'!D13*'Assumptions'!D18*N14</x:f>
        <x:v>7560.000000000001</x:v>
      </x:c>
      <x:c r="O29" s="4" t="n">
        <x:f>O19*'Assumptions'!D13*'Assumptions'!D18*O14</x:f>
        <x:v>7560.000000000001</x:v>
      </x:c>
      <x:c r="P29" s="4" t="n">
        <x:f>P19*'Assumptions'!E13*'Assumptions'!E18*P14</x:f>
        <x:v>7786.800000000001</x:v>
      </x:c>
      <x:c r="Q29" s="4" t="n">
        <x:f>Q19*'Assumptions'!E13*'Assumptions'!E18*Q14</x:f>
        <x:v>7786.800000000001</x:v>
      </x:c>
      <x:c r="R29" s="4" t="n">
        <x:f>R19*'Assumptions'!E13*'Assumptions'!E18*R14</x:f>
        <x:v>7786.800000000001</x:v>
      </x:c>
      <x:c r="S29" s="4" t="n">
        <x:f>S19*'Assumptions'!E13*'Assumptions'!E18*S14</x:f>
        <x:v>7786.800000000001</x:v>
      </x:c>
      <x:c r="T29" s="4" t="n">
        <x:f>T19*'Assumptions'!E13*'Assumptions'!E18*T14</x:f>
        <x:v>7786.800000000001</x:v>
      </x:c>
      <x:c r="U29" s="4" t="n">
        <x:f>U19*'Assumptions'!E13*'Assumptions'!E18*U14</x:f>
        <x:v>7786.800000000001</x:v>
      </x:c>
      <x:c r="V29" s="4" t="n">
        <x:f>V19*'Assumptions'!E13*'Assumptions'!E18*V14</x:f>
        <x:v>7786.800000000001</x:v>
      </x:c>
      <x:c r="W29" s="4" t="n">
        <x:f>W19*'Assumptions'!E13*'Assumptions'!E18*W14</x:f>
        <x:v>7786.800000000001</x:v>
      </x:c>
      <x:c r="X29" s="4" t="n">
        <x:f>X19*'Assumptions'!E13*'Assumptions'!E18*X14</x:f>
        <x:v>7786.800000000001</x:v>
      </x:c>
      <x:c r="Y29" s="4" t="n">
        <x:f>Y19*'Assumptions'!E13*'Assumptions'!E18*Y14</x:f>
        <x:v>7786.800000000001</x:v>
      </x:c>
      <x:c r="Z29" s="4" t="n">
        <x:f>Z19*'Assumptions'!E13*'Assumptions'!E18*Z14</x:f>
        <x:v>7786.800000000001</x:v>
      </x:c>
      <x:c r="AA29" s="4" t="n">
        <x:f>AA19*'Assumptions'!E13*'Assumptions'!E18*AA14</x:f>
        <x:v>7786.800000000001</x:v>
      </x:c>
      <x:c r="AB29" s="4" t="n">
        <x:f>AB19*'Assumptions'!F13*'Assumptions'!F18*AB14</x:f>
        <x:v>8020.404</x:v>
      </x:c>
      <x:c r="AC29" s="4" t="n">
        <x:f>AC19*'Assumptions'!F13*'Assumptions'!F18*AC14</x:f>
        <x:v>8020.404</x:v>
      </x:c>
      <x:c r="AD29" s="4" t="n">
        <x:f>AD19*'Assumptions'!F13*'Assumptions'!F18*AD14</x:f>
        <x:v>8020.404</x:v>
      </x:c>
      <x:c r="AE29" s="4" t="n">
        <x:f>AE19*'Assumptions'!F13*'Assumptions'!F18*AE14</x:f>
        <x:v>8020.404</x:v>
      </x:c>
      <x:c r="AF29" s="4" t="n">
        <x:f>AF19*'Assumptions'!F13*'Assumptions'!F18*AF14</x:f>
        <x:v>8020.404</x:v>
      </x:c>
      <x:c r="AG29" s="4" t="n">
        <x:f>AG19*'Assumptions'!F13*'Assumptions'!F18*AG14</x:f>
        <x:v>8020.404</x:v>
      </x:c>
      <x:c r="AH29" s="4" t="n">
        <x:f>AH19*'Assumptions'!F13*'Assumptions'!F18*AH14</x:f>
        <x:v>8020.404</x:v>
      </x:c>
      <x:c r="AI29" s="4" t="n">
        <x:f>AI19*'Assumptions'!F13*'Assumptions'!F18*AI14</x:f>
        <x:v>8020.404</x:v>
      </x:c>
      <x:c r="AJ29" s="4" t="n">
        <x:f>AJ19*'Assumptions'!F13*'Assumptions'!F18*AJ14</x:f>
        <x:v>8020.404</x:v>
      </x:c>
      <x:c r="AK29" s="4" t="n">
        <x:f>AK19*'Assumptions'!F13*'Assumptions'!F18*AK14</x:f>
        <x:v>8020.404</x:v>
      </x:c>
      <x:c r="AL29" s="4" t="n">
        <x:f>AL19*'Assumptions'!F13*'Assumptions'!F18*AL14</x:f>
        <x:v>8020.404</x:v>
      </x:c>
      <x:c r="AM29" s="4" t="n">
        <x:f>AM19*'Assumptions'!F13*'Assumptions'!F18*AM14</x:f>
        <x:v>8020.404</x:v>
      </x:c>
      <x:c r="AN29" s="2"/>
    </x:row>
    <x:row r="30" ht="21" customHeight="1">
      <x:c r="A30" s="1"/>
      <x:c r="B30" s="1"/>
      <x:c r="C30" s="1" t="str">
        <x:v>Lunch product cost</x:v>
      </x:c>
      <x:c r="D30" s="4" t="n">
        <x:f>D20*'Assumptions'!D14*'Assumptions'!D19*D14</x:f>
        <x:v>3307.5</x:v>
      </x:c>
      <x:c r="E30" s="4" t="n">
        <x:f>E20*'Assumptions'!D14*'Assumptions'!D19*E14</x:f>
        <x:v>3968.9999999999995</x:v>
      </x:c>
      <x:c r="F30" s="4" t="n">
        <x:f>F20*'Assumptions'!D14*'Assumptions'!D19*F14</x:f>
        <x:v>4630.5</x:v>
      </x:c>
      <x:c r="G30" s="4" t="n">
        <x:f>G20*'Assumptions'!D14*'Assumptions'!D19*G14</x:f>
        <x:v>4961.25</x:v>
      </x:c>
      <x:c r="H30" s="4" t="n">
        <x:f>H20*'Assumptions'!D14*'Assumptions'!D19*H14</x:f>
        <x:v>5292</x:v>
      </x:c>
      <x:c r="I30" s="4" t="n">
        <x:f>I20*'Assumptions'!D14*'Assumptions'!D19*I14</x:f>
        <x:v>5622.75</x:v>
      </x:c>
      <x:c r="J30" s="4" t="n">
        <x:f>J20*'Assumptions'!D14*'Assumptions'!D19*J14</x:f>
        <x:v>5953.5</x:v>
      </x:c>
      <x:c r="K30" s="4" t="n">
        <x:f>K20*'Assumptions'!D14*'Assumptions'!D19*K14</x:f>
        <x:v>6284.25</x:v>
      </x:c>
      <x:c r="L30" s="4" t="n">
        <x:f>L20*'Assumptions'!D14*'Assumptions'!D19*L14</x:f>
        <x:v>6615</x:v>
      </x:c>
      <x:c r="M30" s="4" t="n">
        <x:f>M20*'Assumptions'!D14*'Assumptions'!D19*M14</x:f>
        <x:v>6615</x:v>
      </x:c>
      <x:c r="N30" s="4" t="n">
        <x:f>N20*'Assumptions'!D14*'Assumptions'!D19*N14</x:f>
        <x:v>6615</x:v>
      </x:c>
      <x:c r="O30" s="4" t="n">
        <x:f>O20*'Assumptions'!D14*'Assumptions'!D19*O14</x:f>
        <x:v>6615</x:v>
      </x:c>
      <x:c r="P30" s="4" t="n">
        <x:f>P20*'Assumptions'!E14*'Assumptions'!E19*P14</x:f>
        <x:v>6813.45</x:v>
      </x:c>
      <x:c r="Q30" s="4" t="n">
        <x:f>Q20*'Assumptions'!E14*'Assumptions'!E19*Q14</x:f>
        <x:v>6813.45</x:v>
      </x:c>
      <x:c r="R30" s="4" t="n">
        <x:f>R20*'Assumptions'!E14*'Assumptions'!E19*R14</x:f>
        <x:v>6813.45</x:v>
      </x:c>
      <x:c r="S30" s="4" t="n">
        <x:f>S20*'Assumptions'!E14*'Assumptions'!E19*S14</x:f>
        <x:v>6813.45</x:v>
      </x:c>
      <x:c r="T30" s="4" t="n">
        <x:f>T20*'Assumptions'!E14*'Assumptions'!E19*T14</x:f>
        <x:v>6813.45</x:v>
      </x:c>
      <x:c r="U30" s="4" t="n">
        <x:f>U20*'Assumptions'!E14*'Assumptions'!E19*U14</x:f>
        <x:v>6813.45</x:v>
      </x:c>
      <x:c r="V30" s="4" t="n">
        <x:f>V20*'Assumptions'!E14*'Assumptions'!E19*V14</x:f>
        <x:v>6813.45</x:v>
      </x:c>
      <x:c r="W30" s="4" t="n">
        <x:f>W20*'Assumptions'!E14*'Assumptions'!E19*W14</x:f>
        <x:v>6813.45</x:v>
      </x:c>
      <x:c r="X30" s="4" t="n">
        <x:f>X20*'Assumptions'!E14*'Assumptions'!E19*X14</x:f>
        <x:v>6813.45</x:v>
      </x:c>
      <x:c r="Y30" s="4" t="n">
        <x:f>Y20*'Assumptions'!E14*'Assumptions'!E19*Y14</x:f>
        <x:v>6813.45</x:v>
      </x:c>
      <x:c r="Z30" s="4" t="n">
        <x:f>Z20*'Assumptions'!E14*'Assumptions'!E19*Z14</x:f>
        <x:v>6813.45</x:v>
      </x:c>
      <x:c r="AA30" s="4" t="n">
        <x:f>AA20*'Assumptions'!E14*'Assumptions'!E19*AA14</x:f>
        <x:v>6813.45</x:v>
      </x:c>
      <x:c r="AB30" s="4" t="n">
        <x:f>AB20*'Assumptions'!F14*'Assumptions'!F19*AB14</x:f>
        <x:v>7017.853499999999</x:v>
      </x:c>
      <x:c r="AC30" s="4" t="n">
        <x:f>AC20*'Assumptions'!F14*'Assumptions'!F19*AC14</x:f>
        <x:v>7017.853499999999</x:v>
      </x:c>
      <x:c r="AD30" s="4" t="n">
        <x:f>AD20*'Assumptions'!F14*'Assumptions'!F19*AD14</x:f>
        <x:v>7017.853499999999</x:v>
      </x:c>
      <x:c r="AE30" s="4" t="n">
        <x:f>AE20*'Assumptions'!F14*'Assumptions'!F19*AE14</x:f>
        <x:v>7017.853499999999</x:v>
      </x:c>
      <x:c r="AF30" s="4" t="n">
        <x:f>AF20*'Assumptions'!F14*'Assumptions'!F19*AF14</x:f>
        <x:v>7017.853499999999</x:v>
      </x:c>
      <x:c r="AG30" s="4" t="n">
        <x:f>AG20*'Assumptions'!F14*'Assumptions'!F19*AG14</x:f>
        <x:v>7017.853499999999</x:v>
      </x:c>
      <x:c r="AH30" s="4" t="n">
        <x:f>AH20*'Assumptions'!F14*'Assumptions'!F19*AH14</x:f>
        <x:v>7017.853499999999</x:v>
      </x:c>
      <x:c r="AI30" s="4" t="n">
        <x:f>AI20*'Assumptions'!F14*'Assumptions'!F19*AI14</x:f>
        <x:v>7017.853499999999</x:v>
      </x:c>
      <x:c r="AJ30" s="4" t="n">
        <x:f>AJ20*'Assumptions'!F14*'Assumptions'!F19*AJ14</x:f>
        <x:v>7017.853499999999</x:v>
      </x:c>
      <x:c r="AK30" s="4" t="n">
        <x:f>AK20*'Assumptions'!F14*'Assumptions'!F19*AK14</x:f>
        <x:v>7017.853499999999</x:v>
      </x:c>
      <x:c r="AL30" s="4" t="n">
        <x:f>AL20*'Assumptions'!F14*'Assumptions'!F19*AL14</x:f>
        <x:v>7017.853499999999</x:v>
      </x:c>
      <x:c r="AM30" s="4" t="n">
        <x:f>AM20*'Assumptions'!F14*'Assumptions'!F19*AM14</x:f>
        <x:v>7017.853499999999</x:v>
      </x:c>
      <x:c r="AN30" s="2"/>
    </x:row>
    <x:row r="31" ht="21" customHeight="1">
      <x:c r="A31" s="1"/>
      <x:c r="B31" s="1"/>
      <x:c r="C31" s="1" t="str">
        <x:v>Evening product cost</x:v>
      </x:c>
      <x:c r="D31" s="4" t="n">
        <x:f>D21*'Assumptions'!D15*'Assumptions'!D20*D14</x:f>
        <x:v>8100</x:v>
      </x:c>
      <x:c r="E31" s="4" t="n">
        <x:f>E21*'Assumptions'!D15*'Assumptions'!D20*E14</x:f>
        <x:v>9720</x:v>
      </x:c>
      <x:c r="F31" s="4" t="n">
        <x:f>F21*'Assumptions'!D15*'Assumptions'!D20*F14</x:f>
        <x:v>11339.999999999998</x:v>
      </x:c>
      <x:c r="G31" s="4" t="n">
        <x:f>G21*'Assumptions'!D15*'Assumptions'!D20*G14</x:f>
        <x:v>12150</x:v>
      </x:c>
      <x:c r="H31" s="4" t="n">
        <x:f>H21*'Assumptions'!D15*'Assumptions'!D20*H14</x:f>
        <x:v>12960</x:v>
      </x:c>
      <x:c r="I31" s="4" t="n">
        <x:f>I21*'Assumptions'!D15*'Assumptions'!D20*I14</x:f>
        <x:v>13770</x:v>
      </x:c>
      <x:c r="J31" s="4" t="n">
        <x:f>J21*'Assumptions'!D15*'Assumptions'!D20*J14</x:f>
        <x:v>14580</x:v>
      </x:c>
      <x:c r="K31" s="4" t="n">
        <x:f>K21*'Assumptions'!D15*'Assumptions'!D20*K14</x:f>
        <x:v>15390</x:v>
      </x:c>
      <x:c r="L31" s="4" t="n">
        <x:f>L21*'Assumptions'!D15*'Assumptions'!D20*L14</x:f>
        <x:v>16200</x:v>
      </x:c>
      <x:c r="M31" s="4" t="n">
        <x:f>M21*'Assumptions'!D15*'Assumptions'!D20*M14</x:f>
        <x:v>16200</x:v>
      </x:c>
      <x:c r="N31" s="4" t="n">
        <x:f>N21*'Assumptions'!D15*'Assumptions'!D20*N14</x:f>
        <x:v>16200</x:v>
      </x:c>
      <x:c r="O31" s="4" t="n">
        <x:f>O21*'Assumptions'!D15*'Assumptions'!D20*O14</x:f>
        <x:v>16200</x:v>
      </x:c>
      <x:c r="P31" s="4" t="n">
        <x:f>P21*'Assumptions'!E15*'Assumptions'!E20*P14</x:f>
        <x:v>16686</x:v>
      </x:c>
      <x:c r="Q31" s="4" t="n">
        <x:f>Q21*'Assumptions'!E15*'Assumptions'!E20*Q14</x:f>
        <x:v>16686</x:v>
      </x:c>
      <x:c r="R31" s="4" t="n">
        <x:f>R21*'Assumptions'!E15*'Assumptions'!E20*R14</x:f>
        <x:v>16686</x:v>
      </x:c>
      <x:c r="S31" s="4" t="n">
        <x:f>S21*'Assumptions'!E15*'Assumptions'!E20*S14</x:f>
        <x:v>16686</x:v>
      </x:c>
      <x:c r="T31" s="4" t="n">
        <x:f>T21*'Assumptions'!E15*'Assumptions'!E20*T14</x:f>
        <x:v>16686</x:v>
      </x:c>
      <x:c r="U31" s="4" t="n">
        <x:f>U21*'Assumptions'!E15*'Assumptions'!E20*U14</x:f>
        <x:v>16686</x:v>
      </x:c>
      <x:c r="V31" s="4" t="n">
        <x:f>V21*'Assumptions'!E15*'Assumptions'!E20*V14</x:f>
        <x:v>16686</x:v>
      </x:c>
      <x:c r="W31" s="4" t="n">
        <x:f>W21*'Assumptions'!E15*'Assumptions'!E20*W14</x:f>
        <x:v>16686</x:v>
      </x:c>
      <x:c r="X31" s="4" t="n">
        <x:f>X21*'Assumptions'!E15*'Assumptions'!E20*X14</x:f>
        <x:v>16686</x:v>
      </x:c>
      <x:c r="Y31" s="4" t="n">
        <x:f>Y21*'Assumptions'!E15*'Assumptions'!E20*Y14</x:f>
        <x:v>16686</x:v>
      </x:c>
      <x:c r="Z31" s="4" t="n">
        <x:f>Z21*'Assumptions'!E15*'Assumptions'!E20*Z14</x:f>
        <x:v>16686</x:v>
      </x:c>
      <x:c r="AA31" s="4" t="n">
        <x:f>AA21*'Assumptions'!E15*'Assumptions'!E20*AA14</x:f>
        <x:v>16686</x:v>
      </x:c>
      <x:c r="AB31" s="4" t="n">
        <x:f>AB21*'Assumptions'!F15*'Assumptions'!F20*AB14</x:f>
        <x:v>17186.579999999998</x:v>
      </x:c>
      <x:c r="AC31" s="4" t="n">
        <x:f>AC21*'Assumptions'!F15*'Assumptions'!F20*AC14</x:f>
        <x:v>17186.579999999998</x:v>
      </x:c>
      <x:c r="AD31" s="4" t="n">
        <x:f>AD21*'Assumptions'!F15*'Assumptions'!F20*AD14</x:f>
        <x:v>17186.579999999998</x:v>
      </x:c>
      <x:c r="AE31" s="4" t="n">
        <x:f>AE21*'Assumptions'!F15*'Assumptions'!F20*AE14</x:f>
        <x:v>17186.579999999998</x:v>
      </x:c>
      <x:c r="AF31" s="4" t="n">
        <x:f>AF21*'Assumptions'!F15*'Assumptions'!F20*AF14</x:f>
        <x:v>17186.579999999998</x:v>
      </x:c>
      <x:c r="AG31" s="4" t="n">
        <x:f>AG21*'Assumptions'!F15*'Assumptions'!F20*AG14</x:f>
        <x:v>17186.579999999998</x:v>
      </x:c>
      <x:c r="AH31" s="4" t="n">
        <x:f>AH21*'Assumptions'!F15*'Assumptions'!F20*AH14</x:f>
        <x:v>17186.579999999998</x:v>
      </x:c>
      <x:c r="AI31" s="4" t="n">
        <x:f>AI21*'Assumptions'!F15*'Assumptions'!F20*AI14</x:f>
        <x:v>17186.579999999998</x:v>
      </x:c>
      <x:c r="AJ31" s="4" t="n">
        <x:f>AJ21*'Assumptions'!F15*'Assumptions'!F20*AJ14</x:f>
        <x:v>17186.579999999998</x:v>
      </x:c>
      <x:c r="AK31" s="4" t="n">
        <x:f>AK21*'Assumptions'!F15*'Assumptions'!F20*AK14</x:f>
        <x:v>17186.579999999998</x:v>
      </x:c>
      <x:c r="AL31" s="4" t="n">
        <x:f>AL21*'Assumptions'!F15*'Assumptions'!F20*AL14</x:f>
        <x:v>17186.579999999998</x:v>
      </x:c>
      <x:c r="AM31" s="4" t="n">
        <x:f>AM21*'Assumptions'!F15*'Assumptions'!F20*AM14</x:f>
        <x:v>17186.579999999998</x:v>
      </x:c>
      <x:c r="AN31" s="2"/>
    </x:row>
    <x:row r="32" ht="21" customHeight="1">
      <x:c r="A32" s="1"/>
      <x:c r="B32" s="1"/>
      <x:c r="C32" s="1" t="str">
        <x:v>Total product costs</x:v>
      </x:c>
      <x:c r="D32" s="9" t="n">
        <x:f>SUM(D29:D31)</x:f>
        <x:v>15187.5</x:v>
      </x:c>
      <x:c r="E32" s="9" t="n">
        <x:f>SUM(E29:E31)</x:f>
        <x:v>18225</x:v>
      </x:c>
      <x:c r="F32" s="9" t="n">
        <x:f>SUM(F29:F31)</x:f>
        <x:v>21262.5</x:v>
      </x:c>
      <x:c r="G32" s="9" t="n">
        <x:f>SUM(G29:G31)</x:f>
        <x:v>22781.25</x:v>
      </x:c>
      <x:c r="H32" s="9" t="n">
        <x:f>SUM(H29:H31)</x:f>
        <x:v>24300</x:v>
      </x:c>
      <x:c r="I32" s="9" t="n">
        <x:f>SUM(I29:I31)</x:f>
        <x:v>25818.75</x:v>
      </x:c>
      <x:c r="J32" s="9" t="n">
        <x:f>SUM(J29:J31)</x:f>
        <x:v>27337.5</x:v>
      </x:c>
      <x:c r="K32" s="9" t="n">
        <x:f>SUM(K29:K31)</x:f>
        <x:v>28856.25</x:v>
      </x:c>
      <x:c r="L32" s="9" t="n">
        <x:f>SUM(L29:L31)</x:f>
        <x:v>30375</x:v>
      </x:c>
      <x:c r="M32" s="9" t="n">
        <x:f>SUM(M29:M31)</x:f>
        <x:v>30375</x:v>
      </x:c>
      <x:c r="N32" s="9" t="n">
        <x:f>SUM(N29:N31)</x:f>
        <x:v>30375</x:v>
      </x:c>
      <x:c r="O32" s="9" t="n">
        <x:f>SUM(O29:O31)</x:f>
        <x:v>30375</x:v>
      </x:c>
      <x:c r="P32" s="9" t="n">
        <x:f>SUM(P29:P31)</x:f>
        <x:v>31286.25</x:v>
      </x:c>
      <x:c r="Q32" s="9" t="n">
        <x:f>SUM(Q29:Q31)</x:f>
        <x:v>31286.25</x:v>
      </x:c>
      <x:c r="R32" s="9" t="n">
        <x:f>SUM(R29:R31)</x:f>
        <x:v>31286.25</x:v>
      </x:c>
      <x:c r="S32" s="9" t="n">
        <x:f>SUM(S29:S31)</x:f>
        <x:v>31286.25</x:v>
      </x:c>
      <x:c r="T32" s="9" t="n">
        <x:f>SUM(T29:T31)</x:f>
        <x:v>31286.25</x:v>
      </x:c>
      <x:c r="U32" s="9" t="n">
        <x:f>SUM(U29:U31)</x:f>
        <x:v>31286.25</x:v>
      </x:c>
      <x:c r="V32" s="9" t="n">
        <x:f>SUM(V29:V31)</x:f>
        <x:v>31286.25</x:v>
      </x:c>
      <x:c r="W32" s="9" t="n">
        <x:f>SUM(W29:W31)</x:f>
        <x:v>31286.25</x:v>
      </x:c>
      <x:c r="X32" s="9" t="n">
        <x:f>SUM(X29:X31)</x:f>
        <x:v>31286.25</x:v>
      </x:c>
      <x:c r="Y32" s="9" t="n">
        <x:f>SUM(Y29:Y31)</x:f>
        <x:v>31286.25</x:v>
      </x:c>
      <x:c r="Z32" s="9" t="n">
        <x:f>SUM(Z29:Z31)</x:f>
        <x:v>31286.25</x:v>
      </x:c>
      <x:c r="AA32" s="9" t="n">
        <x:f>SUM(AA29:AA31)</x:f>
        <x:v>31286.25</x:v>
      </x:c>
      <x:c r="AB32" s="9" t="n">
        <x:f>SUM(AB29:AB31)</x:f>
        <x:v>32224.837499999998</x:v>
      </x:c>
      <x:c r="AC32" s="9" t="n">
        <x:f>SUM(AC29:AC31)</x:f>
        <x:v>32224.837499999998</x:v>
      </x:c>
      <x:c r="AD32" s="9" t="n">
        <x:f>SUM(AD29:AD31)</x:f>
        <x:v>32224.837499999998</x:v>
      </x:c>
      <x:c r="AE32" s="9" t="n">
        <x:f>SUM(AE29:AE31)</x:f>
        <x:v>32224.837499999998</x:v>
      </x:c>
      <x:c r="AF32" s="9" t="n">
        <x:f>SUM(AF29:AF31)</x:f>
        <x:v>32224.837499999998</x:v>
      </x:c>
      <x:c r="AG32" s="9" t="n">
        <x:f>SUM(AG29:AG31)</x:f>
        <x:v>32224.837499999998</x:v>
      </x:c>
      <x:c r="AH32" s="9" t="n">
        <x:f>SUM(AH29:AH31)</x:f>
        <x:v>32224.837499999998</x:v>
      </x:c>
      <x:c r="AI32" s="9" t="n">
        <x:f>SUM(AI29:AI31)</x:f>
        <x:v>32224.837499999998</x:v>
      </x:c>
      <x:c r="AJ32" s="9" t="n">
        <x:f>SUM(AJ29:AJ31)</x:f>
        <x:v>32224.837499999998</x:v>
      </x:c>
      <x:c r="AK32" s="9" t="n">
        <x:f>SUM(AK29:AK31)</x:f>
        <x:v>32224.837499999998</x:v>
      </x:c>
      <x:c r="AL32" s="9" t="n">
        <x:f>SUM(AL29:AL31)</x:f>
        <x:v>32224.837499999998</x:v>
      </x:c>
      <x:c r="AM32" s="9" t="n">
        <x:f>SUM(AM29:AM31)</x:f>
        <x:v>32224.837499999998</x:v>
      </x:c>
      <x:c r="AN32" s="2"/>
    </x:row>
    <x:row r="33" ht="21" customHeight="1">
      <x:c r="A33" s="1"/>
      <x:c r="B33" s="1"/>
      <x:c r="C33" s="10" t="str">
        <x:v>Gross profit</x:v>
      </x:c>
      <x:c r="D33" s="11" t="n">
        <x:f>D27-D32</x:f>
        <x:v>34762.5</x:v>
      </x:c>
      <x:c r="E33" s="11" t="n">
        <x:f>E27-E32</x:f>
        <x:v>41715</x:v>
      </x:c>
      <x:c r="F33" s="11" t="n">
        <x:f>F27-F32</x:f>
        <x:v>48667.5</x:v>
      </x:c>
      <x:c r="G33" s="11" t="n">
        <x:f>G27-G32</x:f>
        <x:v>52143.75</x:v>
      </x:c>
      <x:c r="H33" s="11" t="n">
        <x:f>H27-H32</x:f>
        <x:v>55620</x:v>
      </x:c>
      <x:c r="I33" s="11" t="n">
        <x:f>I27-I32</x:f>
        <x:v>59096.25</x:v>
      </x:c>
      <x:c r="J33" s="11" t="n">
        <x:f>J27-J32</x:f>
        <x:v>62572.5</x:v>
      </x:c>
      <x:c r="K33" s="11" t="n">
        <x:f>K27-K32</x:f>
        <x:v>66048.75</x:v>
      </x:c>
      <x:c r="L33" s="11" t="n">
        <x:f>L27-L32</x:f>
        <x:v>69525</x:v>
      </x:c>
      <x:c r="M33" s="11" t="n">
        <x:f>M27-M32</x:f>
        <x:v>69525</x:v>
      </x:c>
      <x:c r="N33" s="11" t="n">
        <x:f>N27-N32</x:f>
        <x:v>69525</x:v>
      </x:c>
      <x:c r="O33" s="11" t="n">
        <x:f>O27-O32</x:f>
        <x:v>69525</x:v>
      </x:c>
      <x:c r="P33" s="11" t="n">
        <x:f>P27-P32</x:f>
        <x:v>71610.75</x:v>
      </x:c>
      <x:c r="Q33" s="11" t="n">
        <x:f>Q27-Q32</x:f>
        <x:v>71610.75</x:v>
      </x:c>
      <x:c r="R33" s="11" t="n">
        <x:f>R27-R32</x:f>
        <x:v>71610.75</x:v>
      </x:c>
      <x:c r="S33" s="11" t="n">
        <x:f>S27-S32</x:f>
        <x:v>71610.75</x:v>
      </x:c>
      <x:c r="T33" s="11" t="n">
        <x:f>T27-T32</x:f>
        <x:v>71610.75</x:v>
      </x:c>
      <x:c r="U33" s="11" t="n">
        <x:f>U27-U32</x:f>
        <x:v>71610.75</x:v>
      </x:c>
      <x:c r="V33" s="11" t="n">
        <x:f>V27-V32</x:f>
        <x:v>71610.75</x:v>
      </x:c>
      <x:c r="W33" s="11" t="n">
        <x:f>W27-W32</x:f>
        <x:v>71610.75</x:v>
      </x:c>
      <x:c r="X33" s="11" t="n">
        <x:f>X27-X32</x:f>
        <x:v>71610.75</x:v>
      </x:c>
      <x:c r="Y33" s="11" t="n">
        <x:f>Y27-Y32</x:f>
        <x:v>71610.75</x:v>
      </x:c>
      <x:c r="Z33" s="11" t="n">
        <x:f>Z27-Z32</x:f>
        <x:v>71610.75</x:v>
      </x:c>
      <x:c r="AA33" s="11" t="n">
        <x:f>AA27-AA32</x:f>
        <x:v>71610.75</x:v>
      </x:c>
      <x:c r="AB33" s="11" t="n">
        <x:f>AB27-AB32</x:f>
        <x:v>73759.07250000001</x:v>
      </x:c>
      <x:c r="AC33" s="11" t="n">
        <x:f>AC27-AC32</x:f>
        <x:v>73759.07250000001</x:v>
      </x:c>
      <x:c r="AD33" s="11" t="n">
        <x:f>AD27-AD32</x:f>
        <x:v>73759.07250000001</x:v>
      </x:c>
      <x:c r="AE33" s="11" t="n">
        <x:f>AE27-AE32</x:f>
        <x:v>73759.07250000001</x:v>
      </x:c>
      <x:c r="AF33" s="11" t="n">
        <x:f>AF27-AF32</x:f>
        <x:v>73759.07250000001</x:v>
      </x:c>
      <x:c r="AG33" s="11" t="n">
        <x:f>AG27-AG32</x:f>
        <x:v>73759.07250000001</x:v>
      </x:c>
      <x:c r="AH33" s="11" t="n">
        <x:f>AH27-AH32</x:f>
        <x:v>73759.07250000001</x:v>
      </x:c>
      <x:c r="AI33" s="11" t="n">
        <x:f>AI27-AI32</x:f>
        <x:v>73759.07250000001</x:v>
      </x:c>
      <x:c r="AJ33" s="11" t="n">
        <x:f>AJ27-AJ32</x:f>
        <x:v>73759.07250000001</x:v>
      </x:c>
      <x:c r="AK33" s="11" t="n">
        <x:f>AK27-AK32</x:f>
        <x:v>73759.07250000001</x:v>
      </x:c>
      <x:c r="AL33" s="11" t="n">
        <x:f>AL27-AL32</x:f>
        <x:v>73759.07250000001</x:v>
      </x:c>
      <x:c r="AM33" s="11" t="n">
        <x:f>AM27-AM32</x:f>
        <x:v>73759.07250000001</x:v>
      </x:c>
      <x:c r="AN33" s="2"/>
    </x:row>
    <x:row r="34" ht="21" customHeight="1">
      <x:c r="A34" s="1"/>
      <x:c r="B34" s="1"/>
      <x:c r="C34" s="1" t="str">
        <x:v>Gross margin</x:v>
      </x:c>
      <x:c r="D34" s="25" t="n">
        <x:f>D33/D27</x:f>
        <x:v>0.6959459459459459</x:v>
      </x:c>
      <x:c r="E34" s="25" t="n">
        <x:f>E33/E27</x:f>
        <x:v>0.6959459459459459</x:v>
      </x:c>
      <x:c r="F34" s="25" t="n">
        <x:f>F33/F27</x:f>
        <x:v>0.6959459459459459</x:v>
      </x:c>
      <x:c r="G34" s="25" t="n">
        <x:f>G33/G27</x:f>
        <x:v>0.6959459459459459</x:v>
      </x:c>
      <x:c r="H34" s="25" t="n">
        <x:f>H33/H27</x:f>
        <x:v>0.6959459459459459</x:v>
      </x:c>
      <x:c r="I34" s="25" t="n">
        <x:f>I33/I27</x:f>
        <x:v>0.6959459459459459</x:v>
      </x:c>
      <x:c r="J34" s="25" t="n">
        <x:f>J33/J27</x:f>
        <x:v>0.6959459459459459</x:v>
      </x:c>
      <x:c r="K34" s="25" t="n">
        <x:f>K33/K27</x:f>
        <x:v>0.6959459459459459</x:v>
      </x:c>
      <x:c r="L34" s="25" t="n">
        <x:f>L33/L27</x:f>
        <x:v>0.6959459459459459</x:v>
      </x:c>
      <x:c r="M34" s="25" t="n">
        <x:f>M33/M27</x:f>
        <x:v>0.6959459459459459</x:v>
      </x:c>
      <x:c r="N34" s="25" t="n">
        <x:f>N33/N27</x:f>
        <x:v>0.6959459459459459</x:v>
      </x:c>
      <x:c r="O34" s="25" t="n">
        <x:f>O33/O27</x:f>
        <x:v>0.6959459459459459</x:v>
      </x:c>
      <x:c r="P34" s="25" t="n">
        <x:f>P33/P27</x:f>
        <x:v>0.6959459459459459</x:v>
      </x:c>
      <x:c r="Q34" s="25" t="n">
        <x:f>Q33/Q27</x:f>
        <x:v>0.6959459459459459</x:v>
      </x:c>
      <x:c r="R34" s="25" t="n">
        <x:f>R33/R27</x:f>
        <x:v>0.6959459459459459</x:v>
      </x:c>
      <x:c r="S34" s="25" t="n">
        <x:f>S33/S27</x:f>
        <x:v>0.6959459459459459</x:v>
      </x:c>
      <x:c r="T34" s="25" t="n">
        <x:f>T33/T27</x:f>
        <x:v>0.6959459459459459</x:v>
      </x:c>
      <x:c r="U34" s="25" t="n">
        <x:f>U33/U27</x:f>
        <x:v>0.6959459459459459</x:v>
      </x:c>
      <x:c r="V34" s="25" t="n">
        <x:f>V33/V27</x:f>
        <x:v>0.6959459459459459</x:v>
      </x:c>
      <x:c r="W34" s="25" t="n">
        <x:f>W33/W27</x:f>
        <x:v>0.6959459459459459</x:v>
      </x:c>
      <x:c r="X34" s="25" t="n">
        <x:f>X33/X27</x:f>
        <x:v>0.6959459459459459</x:v>
      </x:c>
      <x:c r="Y34" s="25" t="n">
        <x:f>Y33/Y27</x:f>
        <x:v>0.6959459459459459</x:v>
      </x:c>
      <x:c r="Z34" s="25" t="n">
        <x:f>Z33/Z27</x:f>
        <x:v>0.6959459459459459</x:v>
      </x:c>
      <x:c r="AA34" s="25" t="n">
        <x:f>AA33/AA27</x:f>
        <x:v>0.6959459459459459</x:v>
      </x:c>
      <x:c r="AB34" s="25" t="n">
        <x:f>AB33/AB27</x:f>
        <x:v>0.695945945945946</x:v>
      </x:c>
      <x:c r="AC34" s="25" t="n">
        <x:f>AC33/AC27</x:f>
        <x:v>0.695945945945946</x:v>
      </x:c>
      <x:c r="AD34" s="25" t="n">
        <x:f>AD33/AD27</x:f>
        <x:v>0.695945945945946</x:v>
      </x:c>
      <x:c r="AE34" s="25" t="n">
        <x:f>AE33/AE27</x:f>
        <x:v>0.695945945945946</x:v>
      </x:c>
      <x:c r="AF34" s="25" t="n">
        <x:f>AF33/AF27</x:f>
        <x:v>0.695945945945946</x:v>
      </x:c>
      <x:c r="AG34" s="25" t="n">
        <x:f>AG33/AG27</x:f>
        <x:v>0.695945945945946</x:v>
      </x:c>
      <x:c r="AH34" s="25" t="n">
        <x:f>AH33/AH27</x:f>
        <x:v>0.695945945945946</x:v>
      </x:c>
      <x:c r="AI34" s="25" t="n">
        <x:f>AI33/AI27</x:f>
        <x:v>0.695945945945946</x:v>
      </x:c>
      <x:c r="AJ34" s="25" t="n">
        <x:f>AJ33/AJ27</x:f>
        <x:v>0.695945945945946</x:v>
      </x:c>
      <x:c r="AK34" s="25" t="n">
        <x:f>AK33/AK27</x:f>
        <x:v>0.695945945945946</x:v>
      </x:c>
      <x:c r="AL34" s="25" t="n">
        <x:f>AL33/AL27</x:f>
        <x:v>0.695945945945946</x:v>
      </x:c>
      <x:c r="AM34" s="25" t="n">
        <x:f>AM33/AM27</x:f>
        <x:v>0.695945945945946</x:v>
      </x:c>
      <x:c r="AN34" s="2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1" customHeight="1">
      <x:c r="A36" s="1"/>
      <x:c r="B36" s="1"/>
      <x:c r="C36" s="1" t="str">
        <x:v>Scheduled hourly wage cost</x:v>
      </x:c>
      <x:c r="D36" s="4" t="n">
        <x:f>('Assumptions'!D21/12+'Assumptions'!D66*D10)*'Assumptions'!D22*D15</x:f>
        <x:v>24750</x:v>
      </x:c>
      <x:c r="E36" s="4" t="n">
        <x:f>('Assumptions'!D21/12+'Assumptions'!D66*E10)*'Assumptions'!D22*E15</x:f>
        <x:v>24750</x:v>
      </x:c>
      <x:c r="F36" s="4" t="n">
        <x:f>('Assumptions'!D21/12+'Assumptions'!D66*F10)*'Assumptions'!D22*F15</x:f>
        <x:v>24750</x:v>
      </x:c>
      <x:c r="G36" s="4" t="n">
        <x:f>('Assumptions'!D21/12+'Assumptions'!D66*G10)*'Assumptions'!D22*G15</x:f>
        <x:v>24750</x:v>
      </x:c>
      <x:c r="H36" s="4" t="n">
        <x:f>('Assumptions'!D21/12+'Assumptions'!D66*H10)*'Assumptions'!D22*H15</x:f>
        <x:v>24750</x:v>
      </x:c>
      <x:c r="I36" s="4" t="n">
        <x:f>('Assumptions'!D21/12+'Assumptions'!D66*I10)*'Assumptions'!D22*I15</x:f>
        <x:v>24750</x:v>
      </x:c>
      <x:c r="J36" s="4" t="n">
        <x:f>('Assumptions'!D21/12+'Assumptions'!D66*J10)*'Assumptions'!D22*J15</x:f>
        <x:v>24750</x:v>
      </x:c>
      <x:c r="K36" s="4" t="n">
        <x:f>('Assumptions'!D21/12+'Assumptions'!D66*K10)*'Assumptions'!D22*K15</x:f>
        <x:v>24750</x:v>
      </x:c>
      <x:c r="L36" s="4" t="n">
        <x:f>('Assumptions'!D21/12+'Assumptions'!D66*L10)*'Assumptions'!D22*L15</x:f>
        <x:v>24750</x:v>
      </x:c>
      <x:c r="M36" s="4" t="n">
        <x:f>('Assumptions'!D21/12+'Assumptions'!D66*M10)*'Assumptions'!D22*M15</x:f>
        <x:v>24750</x:v>
      </x:c>
      <x:c r="N36" s="4" t="n">
        <x:f>('Assumptions'!D21/12+'Assumptions'!D66*N10)*'Assumptions'!D22*N15</x:f>
        <x:v>24750</x:v>
      </x:c>
      <x:c r="O36" s="4" t="n">
        <x:f>('Assumptions'!D21/12+'Assumptions'!D66*O10)*'Assumptions'!D22*O15</x:f>
        <x:v>24750</x:v>
      </x:c>
      <x:c r="P36" s="4" t="n">
        <x:f>('Assumptions'!E21/12+'Assumptions'!E66*P10)*'Assumptions'!E22*P15</x:f>
        <x:v>25492.5</x:v>
      </x:c>
      <x:c r="Q36" s="4" t="n">
        <x:f>('Assumptions'!E21/12+'Assumptions'!E66*Q10)*'Assumptions'!E22*Q15</x:f>
        <x:v>25492.5</x:v>
      </x:c>
      <x:c r="R36" s="4" t="n">
        <x:f>('Assumptions'!E21/12+'Assumptions'!E66*R10)*'Assumptions'!E22*R15</x:f>
        <x:v>25492.5</x:v>
      </x:c>
      <x:c r="S36" s="4" t="n">
        <x:f>('Assumptions'!E21/12+'Assumptions'!E66*S10)*'Assumptions'!E22*S15</x:f>
        <x:v>25492.5</x:v>
      </x:c>
      <x:c r="T36" s="4" t="n">
        <x:f>('Assumptions'!E21/12+'Assumptions'!E66*T10)*'Assumptions'!E22*T15</x:f>
        <x:v>25492.5</x:v>
      </x:c>
      <x:c r="U36" s="4" t="n">
        <x:f>('Assumptions'!E21/12+'Assumptions'!E66*U10)*'Assumptions'!E22*U15</x:f>
        <x:v>25492.5</x:v>
      </x:c>
      <x:c r="V36" s="4" t="n">
        <x:f>('Assumptions'!E21/12+'Assumptions'!E66*V10)*'Assumptions'!E22*V15</x:f>
        <x:v>25492.5</x:v>
      </x:c>
      <x:c r="W36" s="4" t="n">
        <x:f>('Assumptions'!E21/12+'Assumptions'!E66*W10)*'Assumptions'!E22*W15</x:f>
        <x:v>25492.5</x:v>
      </x:c>
      <x:c r="X36" s="4" t="n">
        <x:f>('Assumptions'!E21/12+'Assumptions'!E66*X10)*'Assumptions'!E22*X15</x:f>
        <x:v>25492.5</x:v>
      </x:c>
      <x:c r="Y36" s="4" t="n">
        <x:f>('Assumptions'!E21/12+'Assumptions'!E66*Y10)*'Assumptions'!E22*Y15</x:f>
        <x:v>25492.5</x:v>
      </x:c>
      <x:c r="Z36" s="4" t="n">
        <x:f>('Assumptions'!E21/12+'Assumptions'!E66*Z10)*'Assumptions'!E22*Z15</x:f>
        <x:v>25492.5</x:v>
      </x:c>
      <x:c r="AA36" s="4" t="n">
        <x:f>('Assumptions'!E21/12+'Assumptions'!E66*AA10)*'Assumptions'!E22*AA15</x:f>
        <x:v>25492.5</x:v>
      </x:c>
      <x:c r="AB36" s="4" t="n">
        <x:f>('Assumptions'!F21/12+'Assumptions'!F66*AB10)*'Assumptions'!F22*AB15</x:f>
        <x:v>26257.274999999998</x:v>
      </x:c>
      <x:c r="AC36" s="4" t="n">
        <x:f>('Assumptions'!F21/12+'Assumptions'!F66*AC10)*'Assumptions'!F22*AC15</x:f>
        <x:v>26257.274999999998</x:v>
      </x:c>
      <x:c r="AD36" s="4" t="n">
        <x:f>('Assumptions'!F21/12+'Assumptions'!F66*AD10)*'Assumptions'!F22*AD15</x:f>
        <x:v>26257.274999999998</x:v>
      </x:c>
      <x:c r="AE36" s="4" t="n">
        <x:f>('Assumptions'!F21/12+'Assumptions'!F66*AE10)*'Assumptions'!F22*AE15</x:f>
        <x:v>26257.274999999998</x:v>
      </x:c>
      <x:c r="AF36" s="4" t="n">
        <x:f>('Assumptions'!F21/12+'Assumptions'!F66*AF10)*'Assumptions'!F22*AF15</x:f>
        <x:v>26257.274999999998</x:v>
      </x:c>
      <x:c r="AG36" s="4" t="n">
        <x:f>('Assumptions'!F21/12+'Assumptions'!F66*AG10)*'Assumptions'!F22*AG15</x:f>
        <x:v>26257.274999999998</x:v>
      </x:c>
      <x:c r="AH36" s="4" t="n">
        <x:f>('Assumptions'!F21/12+'Assumptions'!F66*AH10)*'Assumptions'!F22*AH15</x:f>
        <x:v>26257.274999999998</x:v>
      </x:c>
      <x:c r="AI36" s="4" t="n">
        <x:f>('Assumptions'!F21/12+'Assumptions'!F66*AI10)*'Assumptions'!F22*AI15</x:f>
        <x:v>26257.274999999998</x:v>
      </x:c>
      <x:c r="AJ36" s="4" t="n">
        <x:f>('Assumptions'!F21/12+'Assumptions'!F66*AJ10)*'Assumptions'!F22*AJ15</x:f>
        <x:v>26257.274999999998</x:v>
      </x:c>
      <x:c r="AK36" s="4" t="n">
        <x:f>('Assumptions'!F21/12+'Assumptions'!F66*AK10)*'Assumptions'!F22*AK15</x:f>
        <x:v>26257.274999999998</x:v>
      </x:c>
      <x:c r="AL36" s="4" t="n">
        <x:f>('Assumptions'!F21/12+'Assumptions'!F66*AL10)*'Assumptions'!F22*AL15</x:f>
        <x:v>26257.274999999998</x:v>
      </x:c>
      <x:c r="AM36" s="4" t="n">
        <x:f>('Assumptions'!F21/12+'Assumptions'!F66*AM10)*'Assumptions'!F22*AM15</x:f>
        <x:v>26257.274999999998</x:v>
      </x:c>
      <x:c r="AN36" s="2"/>
    </x:row>
    <x:row r="37" ht="21" customHeight="1">
      <x:c r="A37" s="1"/>
      <x:c r="B37" s="1"/>
      <x:c r="C37" s="1" t="str">
        <x:v>Manager salary</x:v>
      </x:c>
      <x:c r="D37" s="4" t="n">
        <x:f>'Assumptions'!D23*D15/12</x:f>
        <x:v>7916.666666666667</x:v>
      </x:c>
      <x:c r="E37" s="4" t="n">
        <x:f>'Assumptions'!D23*E15/12</x:f>
        <x:v>7916.666666666667</x:v>
      </x:c>
      <x:c r="F37" s="4" t="n">
        <x:f>'Assumptions'!D23*F15/12</x:f>
        <x:v>7916.666666666667</x:v>
      </x:c>
      <x:c r="G37" s="4" t="n">
        <x:f>'Assumptions'!D23*G15/12</x:f>
        <x:v>7916.666666666667</x:v>
      </x:c>
      <x:c r="H37" s="4" t="n">
        <x:f>'Assumptions'!D23*H15/12</x:f>
        <x:v>7916.666666666667</x:v>
      </x:c>
      <x:c r="I37" s="4" t="n">
        <x:f>'Assumptions'!D23*I15/12</x:f>
        <x:v>7916.666666666667</x:v>
      </x:c>
      <x:c r="J37" s="4" t="n">
        <x:f>'Assumptions'!D23*J15/12</x:f>
        <x:v>7916.666666666667</x:v>
      </x:c>
      <x:c r="K37" s="4" t="n">
        <x:f>'Assumptions'!D23*K15/12</x:f>
        <x:v>7916.666666666667</x:v>
      </x:c>
      <x:c r="L37" s="4" t="n">
        <x:f>'Assumptions'!D23*L15/12</x:f>
        <x:v>7916.666666666667</x:v>
      </x:c>
      <x:c r="M37" s="4" t="n">
        <x:f>'Assumptions'!D23*M15/12</x:f>
        <x:v>7916.666666666667</x:v>
      </x:c>
      <x:c r="N37" s="4" t="n">
        <x:f>'Assumptions'!D23*N15/12</x:f>
        <x:v>7916.666666666667</x:v>
      </x:c>
      <x:c r="O37" s="4" t="n">
        <x:f>'Assumptions'!D23*O15/12</x:f>
        <x:v>7916.666666666667</x:v>
      </x:c>
      <x:c r="P37" s="4" t="n">
        <x:f>'Assumptions'!E23*P15/12</x:f>
        <x:v>8154.166666666667</x:v>
      </x:c>
      <x:c r="Q37" s="4" t="n">
        <x:f>'Assumptions'!E23*Q15/12</x:f>
        <x:v>8154.166666666667</x:v>
      </x:c>
      <x:c r="R37" s="4" t="n">
        <x:f>'Assumptions'!E23*R15/12</x:f>
        <x:v>8154.166666666667</x:v>
      </x:c>
      <x:c r="S37" s="4" t="n">
        <x:f>'Assumptions'!E23*S15/12</x:f>
        <x:v>8154.166666666667</x:v>
      </x:c>
      <x:c r="T37" s="4" t="n">
        <x:f>'Assumptions'!E23*T15/12</x:f>
        <x:v>8154.166666666667</x:v>
      </x:c>
      <x:c r="U37" s="4" t="n">
        <x:f>'Assumptions'!E23*U15/12</x:f>
        <x:v>8154.166666666667</x:v>
      </x:c>
      <x:c r="V37" s="4" t="n">
        <x:f>'Assumptions'!E23*V15/12</x:f>
        <x:v>8154.166666666667</x:v>
      </x:c>
      <x:c r="W37" s="4" t="n">
        <x:f>'Assumptions'!E23*W15/12</x:f>
        <x:v>8154.166666666667</x:v>
      </x:c>
      <x:c r="X37" s="4" t="n">
        <x:f>'Assumptions'!E23*X15/12</x:f>
        <x:v>8154.166666666667</x:v>
      </x:c>
      <x:c r="Y37" s="4" t="n">
        <x:f>'Assumptions'!E23*Y15/12</x:f>
        <x:v>8154.166666666667</x:v>
      </x:c>
      <x:c r="Z37" s="4" t="n">
        <x:f>'Assumptions'!E23*Z15/12</x:f>
        <x:v>8154.166666666667</x:v>
      </x:c>
      <x:c r="AA37" s="4" t="n">
        <x:f>'Assumptions'!E23*AA15/12</x:f>
        <x:v>8154.166666666667</x:v>
      </x:c>
      <x:c r="AB37" s="4" t="n">
        <x:f>'Assumptions'!F23*AB15/12</x:f>
        <x:v>8398.791666666666</x:v>
      </x:c>
      <x:c r="AC37" s="4" t="n">
        <x:f>'Assumptions'!F23*AC15/12</x:f>
        <x:v>8398.791666666666</x:v>
      </x:c>
      <x:c r="AD37" s="4" t="n">
        <x:f>'Assumptions'!F23*AD15/12</x:f>
        <x:v>8398.791666666666</x:v>
      </x:c>
      <x:c r="AE37" s="4" t="n">
        <x:f>'Assumptions'!F23*AE15/12</x:f>
        <x:v>8398.791666666666</x:v>
      </x:c>
      <x:c r="AF37" s="4" t="n">
        <x:f>'Assumptions'!F23*AF15/12</x:f>
        <x:v>8398.791666666666</x:v>
      </x:c>
      <x:c r="AG37" s="4" t="n">
        <x:f>'Assumptions'!F23*AG15/12</x:f>
        <x:v>8398.791666666666</x:v>
      </x:c>
      <x:c r="AH37" s="4" t="n">
        <x:f>'Assumptions'!F23*AH15/12</x:f>
        <x:v>8398.791666666666</x:v>
      </x:c>
      <x:c r="AI37" s="4" t="n">
        <x:f>'Assumptions'!F23*AI15/12</x:f>
        <x:v>8398.791666666666</x:v>
      </x:c>
      <x:c r="AJ37" s="4" t="n">
        <x:f>'Assumptions'!F23*AJ15/12</x:f>
        <x:v>8398.791666666666</x:v>
      </x:c>
      <x:c r="AK37" s="4" t="n">
        <x:f>'Assumptions'!F23*AK15/12</x:f>
        <x:v>8398.791666666666</x:v>
      </x:c>
      <x:c r="AL37" s="4" t="n">
        <x:f>'Assumptions'!F23*AL15/12</x:f>
        <x:v>8398.791666666666</x:v>
      </x:c>
      <x:c r="AM37" s="4" t="n">
        <x:f>'Assumptions'!F23*AM15/12</x:f>
        <x:v>8398.791666666666</x:v>
      </x:c>
      <x:c r="AN37" s="2"/>
    </x:row>
    <x:row r="38" ht="21" customHeight="1">
      <x:c r="A38" s="1"/>
      <x:c r="B38" s="1"/>
      <x:c r="C38" s="1" t="str">
        <x:v>Leave cover</x:v>
      </x:c>
      <x:c r="D38" s="4" t="n">
        <x:f>D36*'Assumptions'!D25</x:f>
        <x:v>1485</x:v>
      </x:c>
      <x:c r="E38" s="4" t="n">
        <x:f>E36*'Assumptions'!D25</x:f>
        <x:v>1485</x:v>
      </x:c>
      <x:c r="F38" s="4" t="n">
        <x:f>F36*'Assumptions'!D25</x:f>
        <x:v>1485</x:v>
      </x:c>
      <x:c r="G38" s="4" t="n">
        <x:f>G36*'Assumptions'!D25</x:f>
        <x:v>1485</x:v>
      </x:c>
      <x:c r="H38" s="4" t="n">
        <x:f>H36*'Assumptions'!D25</x:f>
        <x:v>1485</x:v>
      </x:c>
      <x:c r="I38" s="4" t="n">
        <x:f>I36*'Assumptions'!D25</x:f>
        <x:v>1485</x:v>
      </x:c>
      <x:c r="J38" s="4" t="n">
        <x:f>J36*'Assumptions'!D25</x:f>
        <x:v>1485</x:v>
      </x:c>
      <x:c r="K38" s="4" t="n">
        <x:f>K36*'Assumptions'!D25</x:f>
        <x:v>1485</x:v>
      </x:c>
      <x:c r="L38" s="4" t="n">
        <x:f>L36*'Assumptions'!D25</x:f>
        <x:v>1485</x:v>
      </x:c>
      <x:c r="M38" s="4" t="n">
        <x:f>M36*'Assumptions'!D25</x:f>
        <x:v>1485</x:v>
      </x:c>
      <x:c r="N38" s="4" t="n">
        <x:f>N36*'Assumptions'!D25</x:f>
        <x:v>1485</x:v>
      </x:c>
      <x:c r="O38" s="4" t="n">
        <x:f>O36*'Assumptions'!D25</x:f>
        <x:v>1485</x:v>
      </x:c>
      <x:c r="P38" s="4" t="n">
        <x:f>P36*'Assumptions'!E25</x:f>
        <x:v>1529.55</x:v>
      </x:c>
      <x:c r="Q38" s="4" t="n">
        <x:f>Q36*'Assumptions'!E25</x:f>
        <x:v>1529.55</x:v>
      </x:c>
      <x:c r="R38" s="4" t="n">
        <x:f>R36*'Assumptions'!E25</x:f>
        <x:v>1529.55</x:v>
      </x:c>
      <x:c r="S38" s="4" t="n">
        <x:f>S36*'Assumptions'!E25</x:f>
        <x:v>1529.55</x:v>
      </x:c>
      <x:c r="T38" s="4" t="n">
        <x:f>T36*'Assumptions'!E25</x:f>
        <x:v>1529.55</x:v>
      </x:c>
      <x:c r="U38" s="4" t="n">
        <x:f>U36*'Assumptions'!E25</x:f>
        <x:v>1529.55</x:v>
      </x:c>
      <x:c r="V38" s="4" t="n">
        <x:f>V36*'Assumptions'!E25</x:f>
        <x:v>1529.55</x:v>
      </x:c>
      <x:c r="W38" s="4" t="n">
        <x:f>W36*'Assumptions'!E25</x:f>
        <x:v>1529.55</x:v>
      </x:c>
      <x:c r="X38" s="4" t="n">
        <x:f>X36*'Assumptions'!E25</x:f>
        <x:v>1529.55</x:v>
      </x:c>
      <x:c r="Y38" s="4" t="n">
        <x:f>Y36*'Assumptions'!E25</x:f>
        <x:v>1529.55</x:v>
      </x:c>
      <x:c r="Z38" s="4" t="n">
        <x:f>Z36*'Assumptions'!E25</x:f>
        <x:v>1529.55</x:v>
      </x:c>
      <x:c r="AA38" s="4" t="n">
        <x:f>AA36*'Assumptions'!E25</x:f>
        <x:v>1529.55</x:v>
      </x:c>
      <x:c r="AB38" s="4" t="n">
        <x:f>AB36*'Assumptions'!F25</x:f>
        <x:v>1575.4364999999998</x:v>
      </x:c>
      <x:c r="AC38" s="4" t="n">
        <x:f>AC36*'Assumptions'!F25</x:f>
        <x:v>1575.4364999999998</x:v>
      </x:c>
      <x:c r="AD38" s="4" t="n">
        <x:f>AD36*'Assumptions'!F25</x:f>
        <x:v>1575.4364999999998</x:v>
      </x:c>
      <x:c r="AE38" s="4" t="n">
        <x:f>AE36*'Assumptions'!F25</x:f>
        <x:v>1575.4364999999998</x:v>
      </x:c>
      <x:c r="AF38" s="4" t="n">
        <x:f>AF36*'Assumptions'!F25</x:f>
        <x:v>1575.4364999999998</x:v>
      </x:c>
      <x:c r="AG38" s="4" t="n">
        <x:f>AG36*'Assumptions'!F25</x:f>
        <x:v>1575.4364999999998</x:v>
      </x:c>
      <x:c r="AH38" s="4" t="n">
        <x:f>AH36*'Assumptions'!F25</x:f>
        <x:v>1575.4364999999998</x:v>
      </x:c>
      <x:c r="AI38" s="4" t="n">
        <x:f>AI36*'Assumptions'!F25</x:f>
        <x:v>1575.4364999999998</x:v>
      </x:c>
      <x:c r="AJ38" s="4" t="n">
        <x:f>AJ36*'Assumptions'!F25</x:f>
        <x:v>1575.4364999999998</x:v>
      </x:c>
      <x:c r="AK38" s="4" t="n">
        <x:f>AK36*'Assumptions'!F25</x:f>
        <x:v>1575.4364999999998</x:v>
      </x:c>
      <x:c r="AL38" s="4" t="n">
        <x:f>AL36*'Assumptions'!F25</x:f>
        <x:v>1575.4364999999998</x:v>
      </x:c>
      <x:c r="AM38" s="4" t="n">
        <x:f>AM36*'Assumptions'!F25</x:f>
        <x:v>1575.4364999999998</x:v>
      </x:c>
      <x:c r="AN38" s="2"/>
    </x:row>
    <x:row r="39" ht="21" customHeight="1">
      <x:c r="A39" s="1"/>
      <x:c r="B39" s="1"/>
      <x:c r="C39" s="1" t="str">
        <x:v>Paid training</x:v>
      </x:c>
      <x:c r="D39" s="4" t="n">
        <x:f>SUM(D36:D37)*'Assumptions'!D26</x:f>
        <x:v>653.3333333333334</x:v>
      </x:c>
      <x:c r="E39" s="4" t="n">
        <x:f>SUM(E36:E37)*'Assumptions'!D26</x:f>
        <x:v>653.3333333333334</x:v>
      </x:c>
      <x:c r="F39" s="4" t="n">
        <x:f>SUM(F36:F37)*'Assumptions'!D26</x:f>
        <x:v>653.3333333333334</x:v>
      </x:c>
      <x:c r="G39" s="4" t="n">
        <x:f>SUM(G36:G37)*'Assumptions'!D26</x:f>
        <x:v>653.3333333333334</x:v>
      </x:c>
      <x:c r="H39" s="4" t="n">
        <x:f>SUM(H36:H37)*'Assumptions'!D26</x:f>
        <x:v>653.3333333333334</x:v>
      </x:c>
      <x:c r="I39" s="4" t="n">
        <x:f>SUM(I36:I37)*'Assumptions'!D26</x:f>
        <x:v>653.3333333333334</x:v>
      </x:c>
      <x:c r="J39" s="4" t="n">
        <x:f>SUM(J36:J37)*'Assumptions'!D26</x:f>
        <x:v>653.3333333333334</x:v>
      </x:c>
      <x:c r="K39" s="4" t="n">
        <x:f>SUM(K36:K37)*'Assumptions'!D26</x:f>
        <x:v>653.3333333333334</x:v>
      </x:c>
      <x:c r="L39" s="4" t="n">
        <x:f>SUM(L36:L37)*'Assumptions'!D26</x:f>
        <x:v>653.3333333333334</x:v>
      </x:c>
      <x:c r="M39" s="4" t="n">
        <x:f>SUM(M36:M37)*'Assumptions'!D26</x:f>
        <x:v>653.3333333333334</x:v>
      </x:c>
      <x:c r="N39" s="4" t="n">
        <x:f>SUM(N36:N37)*'Assumptions'!D26</x:f>
        <x:v>653.3333333333334</x:v>
      </x:c>
      <x:c r="O39" s="4" t="n">
        <x:f>SUM(O36:O37)*'Assumptions'!D26</x:f>
        <x:v>653.3333333333334</x:v>
      </x:c>
      <x:c r="P39" s="4" t="n">
        <x:f>SUM(P36:P37)*'Assumptions'!E26</x:f>
        <x:v>672.9333333333333</x:v>
      </x:c>
      <x:c r="Q39" s="4" t="n">
        <x:f>SUM(Q36:Q37)*'Assumptions'!E26</x:f>
        <x:v>672.9333333333333</x:v>
      </x:c>
      <x:c r="R39" s="4" t="n">
        <x:f>SUM(R36:R37)*'Assumptions'!E26</x:f>
        <x:v>672.9333333333333</x:v>
      </x:c>
      <x:c r="S39" s="4" t="n">
        <x:f>SUM(S36:S37)*'Assumptions'!E26</x:f>
        <x:v>672.9333333333333</x:v>
      </x:c>
      <x:c r="T39" s="4" t="n">
        <x:f>SUM(T36:T37)*'Assumptions'!E26</x:f>
        <x:v>672.9333333333333</x:v>
      </x:c>
      <x:c r="U39" s="4" t="n">
        <x:f>SUM(U36:U37)*'Assumptions'!E26</x:f>
        <x:v>672.9333333333333</x:v>
      </x:c>
      <x:c r="V39" s="4" t="n">
        <x:f>SUM(V36:V37)*'Assumptions'!E26</x:f>
        <x:v>672.9333333333333</x:v>
      </x:c>
      <x:c r="W39" s="4" t="n">
        <x:f>SUM(W36:W37)*'Assumptions'!E26</x:f>
        <x:v>672.9333333333333</x:v>
      </x:c>
      <x:c r="X39" s="4" t="n">
        <x:f>SUM(X36:X37)*'Assumptions'!E26</x:f>
        <x:v>672.9333333333333</x:v>
      </x:c>
      <x:c r="Y39" s="4" t="n">
        <x:f>SUM(Y36:Y37)*'Assumptions'!E26</x:f>
        <x:v>672.9333333333333</x:v>
      </x:c>
      <x:c r="Z39" s="4" t="n">
        <x:f>SUM(Z36:Z37)*'Assumptions'!E26</x:f>
        <x:v>672.9333333333333</x:v>
      </x:c>
      <x:c r="AA39" s="4" t="n">
        <x:f>SUM(AA36:AA37)*'Assumptions'!E26</x:f>
        <x:v>672.9333333333333</x:v>
      </x:c>
      <x:c r="AB39" s="4" t="n">
        <x:f>SUM(AB36:AB37)*'Assumptions'!F26</x:f>
        <x:v>693.1213333333334</x:v>
      </x:c>
      <x:c r="AC39" s="4" t="n">
        <x:f>SUM(AC36:AC37)*'Assumptions'!F26</x:f>
        <x:v>693.1213333333334</x:v>
      </x:c>
      <x:c r="AD39" s="4" t="n">
        <x:f>SUM(AD36:AD37)*'Assumptions'!F26</x:f>
        <x:v>693.1213333333334</x:v>
      </x:c>
      <x:c r="AE39" s="4" t="n">
        <x:f>SUM(AE36:AE37)*'Assumptions'!F26</x:f>
        <x:v>693.1213333333334</x:v>
      </x:c>
      <x:c r="AF39" s="4" t="n">
        <x:f>SUM(AF36:AF37)*'Assumptions'!F26</x:f>
        <x:v>693.1213333333334</x:v>
      </x:c>
      <x:c r="AG39" s="4" t="n">
        <x:f>SUM(AG36:AG37)*'Assumptions'!F26</x:f>
        <x:v>693.1213333333334</x:v>
      </x:c>
      <x:c r="AH39" s="4" t="n">
        <x:f>SUM(AH36:AH37)*'Assumptions'!F26</x:f>
        <x:v>693.1213333333334</x:v>
      </x:c>
      <x:c r="AI39" s="4" t="n">
        <x:f>SUM(AI36:AI37)*'Assumptions'!F26</x:f>
        <x:v>693.1213333333334</x:v>
      </x:c>
      <x:c r="AJ39" s="4" t="n">
        <x:f>SUM(AJ36:AJ37)*'Assumptions'!F26</x:f>
        <x:v>693.1213333333334</x:v>
      </x:c>
      <x:c r="AK39" s="4" t="n">
        <x:f>SUM(AK36:AK37)*'Assumptions'!F26</x:f>
        <x:v>693.1213333333334</x:v>
      </x:c>
      <x:c r="AL39" s="4" t="n">
        <x:f>SUM(AL36:AL37)*'Assumptions'!F26</x:f>
        <x:v>693.1213333333334</x:v>
      </x:c>
      <x:c r="AM39" s="4" t="n">
        <x:f>SUM(AM36:AM37)*'Assumptions'!F26</x:f>
        <x:v>693.1213333333334</x:v>
      </x:c>
      <x:c r="AN39" s="2"/>
    </x:row>
    <x:row r="40" ht="21" customHeight="1">
      <x:c r="A40" s="1"/>
      <x:c r="B40" s="1"/>
      <x:c r="C40" s="1" t="str">
        <x:v>Gross payroll</x:v>
      </x:c>
      <x:c r="D40" s="9" t="n">
        <x:f>SUM(D36:D39)</x:f>
        <x:v>34805.00000000001</x:v>
      </x:c>
      <x:c r="E40" s="9" t="n">
        <x:f>SUM(E36:E39)</x:f>
        <x:v>34805.00000000001</x:v>
      </x:c>
      <x:c r="F40" s="9" t="n">
        <x:f>SUM(F36:F39)</x:f>
        <x:v>34805.00000000001</x:v>
      </x:c>
      <x:c r="G40" s="9" t="n">
        <x:f>SUM(G36:G39)</x:f>
        <x:v>34805.00000000001</x:v>
      </x:c>
      <x:c r="H40" s="9" t="n">
        <x:f>SUM(H36:H39)</x:f>
        <x:v>34805.00000000001</x:v>
      </x:c>
      <x:c r="I40" s="9" t="n">
        <x:f>SUM(I36:I39)</x:f>
        <x:v>34805.00000000001</x:v>
      </x:c>
      <x:c r="J40" s="9" t="n">
        <x:f>SUM(J36:J39)</x:f>
        <x:v>34805.00000000001</x:v>
      </x:c>
      <x:c r="K40" s="9" t="n">
        <x:f>SUM(K36:K39)</x:f>
        <x:v>34805.00000000001</x:v>
      </x:c>
      <x:c r="L40" s="9" t="n">
        <x:f>SUM(L36:L39)</x:f>
        <x:v>34805.00000000001</x:v>
      </x:c>
      <x:c r="M40" s="9" t="n">
        <x:f>SUM(M36:M39)</x:f>
        <x:v>34805.00000000001</x:v>
      </x:c>
      <x:c r="N40" s="9" t="n">
        <x:f>SUM(N36:N39)</x:f>
        <x:v>34805.00000000001</x:v>
      </x:c>
      <x:c r="O40" s="9" t="n">
        <x:f>SUM(O36:O39)</x:f>
        <x:v>34805.00000000001</x:v>
      </x:c>
      <x:c r="P40" s="9" t="n">
        <x:f>SUM(P36:P39)</x:f>
        <x:v>35849.15</x:v>
      </x:c>
      <x:c r="Q40" s="9" t="n">
        <x:f>SUM(Q36:Q39)</x:f>
        <x:v>35849.15</x:v>
      </x:c>
      <x:c r="R40" s="9" t="n">
        <x:f>SUM(R36:R39)</x:f>
        <x:v>35849.15</x:v>
      </x:c>
      <x:c r="S40" s="9" t="n">
        <x:f>SUM(S36:S39)</x:f>
        <x:v>35849.15</x:v>
      </x:c>
      <x:c r="T40" s="9" t="n">
        <x:f>SUM(T36:T39)</x:f>
        <x:v>35849.15</x:v>
      </x:c>
      <x:c r="U40" s="9" t="n">
        <x:f>SUM(U36:U39)</x:f>
        <x:v>35849.15</x:v>
      </x:c>
      <x:c r="V40" s="9" t="n">
        <x:f>SUM(V36:V39)</x:f>
        <x:v>35849.15</x:v>
      </x:c>
      <x:c r="W40" s="9" t="n">
        <x:f>SUM(W36:W39)</x:f>
        <x:v>35849.15</x:v>
      </x:c>
      <x:c r="X40" s="9" t="n">
        <x:f>SUM(X36:X39)</x:f>
        <x:v>35849.15</x:v>
      </x:c>
      <x:c r="Y40" s="9" t="n">
        <x:f>SUM(Y36:Y39)</x:f>
        <x:v>35849.15</x:v>
      </x:c>
      <x:c r="Z40" s="9" t="n">
        <x:f>SUM(Z36:Z39)</x:f>
        <x:v>35849.15</x:v>
      </x:c>
      <x:c r="AA40" s="9" t="n">
        <x:f>SUM(AA36:AA39)</x:f>
        <x:v>35849.15</x:v>
      </x:c>
      <x:c r="AB40" s="9" t="n">
        <x:f>SUM(AB36:AB39)</x:f>
        <x:v>36924.6245</x:v>
      </x:c>
      <x:c r="AC40" s="9" t="n">
        <x:f>SUM(AC36:AC39)</x:f>
        <x:v>36924.6245</x:v>
      </x:c>
      <x:c r="AD40" s="9" t="n">
        <x:f>SUM(AD36:AD39)</x:f>
        <x:v>36924.6245</x:v>
      </x:c>
      <x:c r="AE40" s="9" t="n">
        <x:f>SUM(AE36:AE39)</x:f>
        <x:v>36924.6245</x:v>
      </x:c>
      <x:c r="AF40" s="9" t="n">
        <x:f>SUM(AF36:AF39)</x:f>
        <x:v>36924.6245</x:v>
      </x:c>
      <x:c r="AG40" s="9" t="n">
        <x:f>SUM(AG36:AG39)</x:f>
        <x:v>36924.6245</x:v>
      </x:c>
      <x:c r="AH40" s="9" t="n">
        <x:f>SUM(AH36:AH39)</x:f>
        <x:v>36924.6245</x:v>
      </x:c>
      <x:c r="AI40" s="9" t="n">
        <x:f>SUM(AI36:AI39)</x:f>
        <x:v>36924.6245</x:v>
      </x:c>
      <x:c r="AJ40" s="9" t="n">
        <x:f>SUM(AJ36:AJ39)</x:f>
        <x:v>36924.6245</x:v>
      </x:c>
      <x:c r="AK40" s="9" t="n">
        <x:f>SUM(AK36:AK39)</x:f>
        <x:v>36924.6245</x:v>
      </x:c>
      <x:c r="AL40" s="9" t="n">
        <x:f>SUM(AL36:AL39)</x:f>
        <x:v>36924.6245</x:v>
      </x:c>
      <x:c r="AM40" s="9" t="n">
        <x:f>SUM(AM36:AM39)</x:f>
        <x:v>36924.6245</x:v>
      </x:c>
      <x:c r="AN40" s="2"/>
    </x:row>
    <x:row r="41" ht="21" customHeight="1">
      <x:c r="A41" s="1"/>
      <x:c r="B41" s="1"/>
      <x:c r="C41" s="1" t="str">
        <x:v>Employer FICA wages</x:v>
      </x:c>
      <x:c r="D41" s="4" t="n">
        <x:f>D40*'Assumptions'!D27</x:f>
        <x:v>2662.5825000000004</x:v>
      </x:c>
      <x:c r="E41" s="4" t="n">
        <x:f>E40*'Assumptions'!D27</x:f>
        <x:v>2662.5825000000004</x:v>
      </x:c>
      <x:c r="F41" s="4" t="n">
        <x:f>F40*'Assumptions'!D27</x:f>
        <x:v>2662.5825000000004</x:v>
      </x:c>
      <x:c r="G41" s="4" t="n">
        <x:f>G40*'Assumptions'!D27</x:f>
        <x:v>2662.5825000000004</x:v>
      </x:c>
      <x:c r="H41" s="4" t="n">
        <x:f>H40*'Assumptions'!D27</x:f>
        <x:v>2662.5825000000004</x:v>
      </x:c>
      <x:c r="I41" s="4" t="n">
        <x:f>I40*'Assumptions'!D27</x:f>
        <x:v>2662.5825000000004</x:v>
      </x:c>
      <x:c r="J41" s="4" t="n">
        <x:f>J40*'Assumptions'!D27</x:f>
        <x:v>2662.5825000000004</x:v>
      </x:c>
      <x:c r="K41" s="4" t="n">
        <x:f>K40*'Assumptions'!D27</x:f>
        <x:v>2662.5825000000004</x:v>
      </x:c>
      <x:c r="L41" s="4" t="n">
        <x:f>L40*'Assumptions'!D27</x:f>
        <x:v>2662.5825000000004</x:v>
      </x:c>
      <x:c r="M41" s="4" t="n">
        <x:f>M40*'Assumptions'!D27</x:f>
        <x:v>2662.5825000000004</x:v>
      </x:c>
      <x:c r="N41" s="4" t="n">
        <x:f>N40*'Assumptions'!D27</x:f>
        <x:v>2662.5825000000004</x:v>
      </x:c>
      <x:c r="O41" s="4" t="n">
        <x:f>O40*'Assumptions'!D27</x:f>
        <x:v>2662.5825000000004</x:v>
      </x:c>
      <x:c r="P41" s="4" t="n">
        <x:f>P40*'Assumptions'!E27</x:f>
        <x:v>2742.459975</x:v>
      </x:c>
      <x:c r="Q41" s="4" t="n">
        <x:f>Q40*'Assumptions'!E27</x:f>
        <x:v>2742.459975</x:v>
      </x:c>
      <x:c r="R41" s="4" t="n">
        <x:f>R40*'Assumptions'!E27</x:f>
        <x:v>2742.459975</x:v>
      </x:c>
      <x:c r="S41" s="4" t="n">
        <x:f>S40*'Assumptions'!E27</x:f>
        <x:v>2742.459975</x:v>
      </x:c>
      <x:c r="T41" s="4" t="n">
        <x:f>T40*'Assumptions'!E27</x:f>
        <x:v>2742.459975</x:v>
      </x:c>
      <x:c r="U41" s="4" t="n">
        <x:f>U40*'Assumptions'!E27</x:f>
        <x:v>2742.459975</x:v>
      </x:c>
      <x:c r="V41" s="4" t="n">
        <x:f>V40*'Assumptions'!E27</x:f>
        <x:v>2742.459975</x:v>
      </x:c>
      <x:c r="W41" s="4" t="n">
        <x:f>W40*'Assumptions'!E27</x:f>
        <x:v>2742.459975</x:v>
      </x:c>
      <x:c r="X41" s="4" t="n">
        <x:f>X40*'Assumptions'!E27</x:f>
        <x:v>2742.459975</x:v>
      </x:c>
      <x:c r="Y41" s="4" t="n">
        <x:f>Y40*'Assumptions'!E27</x:f>
        <x:v>2742.459975</x:v>
      </x:c>
      <x:c r="Z41" s="4" t="n">
        <x:f>Z40*'Assumptions'!E27</x:f>
        <x:v>2742.459975</x:v>
      </x:c>
      <x:c r="AA41" s="4" t="n">
        <x:f>AA40*'Assumptions'!E27</x:f>
        <x:v>2742.459975</x:v>
      </x:c>
      <x:c r="AB41" s="4" t="n">
        <x:f>AB40*'Assumptions'!F27</x:f>
        <x:v>2824.73377425</x:v>
      </x:c>
      <x:c r="AC41" s="4" t="n">
        <x:f>AC40*'Assumptions'!F27</x:f>
        <x:v>2824.73377425</x:v>
      </x:c>
      <x:c r="AD41" s="4" t="n">
        <x:f>AD40*'Assumptions'!F27</x:f>
        <x:v>2824.73377425</x:v>
      </x:c>
      <x:c r="AE41" s="4" t="n">
        <x:f>AE40*'Assumptions'!F27</x:f>
        <x:v>2824.73377425</x:v>
      </x:c>
      <x:c r="AF41" s="4" t="n">
        <x:f>AF40*'Assumptions'!F27</x:f>
        <x:v>2824.73377425</x:v>
      </x:c>
      <x:c r="AG41" s="4" t="n">
        <x:f>AG40*'Assumptions'!F27</x:f>
        <x:v>2824.73377425</x:v>
      </x:c>
      <x:c r="AH41" s="4" t="n">
        <x:f>AH40*'Assumptions'!F27</x:f>
        <x:v>2824.73377425</x:v>
      </x:c>
      <x:c r="AI41" s="4" t="n">
        <x:f>AI40*'Assumptions'!F27</x:f>
        <x:v>2824.73377425</x:v>
      </x:c>
      <x:c r="AJ41" s="4" t="n">
        <x:f>AJ40*'Assumptions'!F27</x:f>
        <x:v>2824.73377425</x:v>
      </x:c>
      <x:c r="AK41" s="4" t="n">
        <x:f>AK40*'Assumptions'!F27</x:f>
        <x:v>2824.73377425</x:v>
      </x:c>
      <x:c r="AL41" s="4" t="n">
        <x:f>AL40*'Assumptions'!F27</x:f>
        <x:v>2824.73377425</x:v>
      </x:c>
      <x:c r="AM41" s="4" t="n">
        <x:f>AM40*'Assumptions'!F27</x:f>
        <x:v>2824.73377425</x:v>
      </x:c>
      <x:c r="AN41" s="2"/>
    </x:row>
    <x:row r="42" ht="21" customHeight="1">
      <x:c r="A42" s="1"/>
      <x:c r="B42" s="1"/>
      <x:c r="C42" s="1" t="str">
        <x:v>Unemployment / workers-comp allowance</x:v>
      </x:c>
      <x:c r="D42" s="4" t="n">
        <x:f>D40*'Assumptions'!D28</x:f>
        <x:v>1044.15</x:v>
      </x:c>
      <x:c r="E42" s="4" t="n">
        <x:f>E40*'Assumptions'!D28</x:f>
        <x:v>1044.15</x:v>
      </x:c>
      <x:c r="F42" s="4" t="n">
        <x:f>F40*'Assumptions'!D28</x:f>
        <x:v>1044.15</x:v>
      </x:c>
      <x:c r="G42" s="4" t="n">
        <x:f>G40*'Assumptions'!D28</x:f>
        <x:v>1044.15</x:v>
      </x:c>
      <x:c r="H42" s="4" t="n">
        <x:f>H40*'Assumptions'!D28</x:f>
        <x:v>1044.15</x:v>
      </x:c>
      <x:c r="I42" s="4" t="n">
        <x:f>I40*'Assumptions'!D28</x:f>
        <x:v>1044.15</x:v>
      </x:c>
      <x:c r="J42" s="4" t="n">
        <x:f>J40*'Assumptions'!D28</x:f>
        <x:v>1044.15</x:v>
      </x:c>
      <x:c r="K42" s="4" t="n">
        <x:f>K40*'Assumptions'!D28</x:f>
        <x:v>1044.15</x:v>
      </x:c>
      <x:c r="L42" s="4" t="n">
        <x:f>L40*'Assumptions'!D28</x:f>
        <x:v>1044.15</x:v>
      </x:c>
      <x:c r="M42" s="4" t="n">
        <x:f>M40*'Assumptions'!D28</x:f>
        <x:v>1044.15</x:v>
      </x:c>
      <x:c r="N42" s="4" t="n">
        <x:f>N40*'Assumptions'!D28</x:f>
        <x:v>1044.15</x:v>
      </x:c>
      <x:c r="O42" s="4" t="n">
        <x:f>O40*'Assumptions'!D28</x:f>
        <x:v>1044.15</x:v>
      </x:c>
      <x:c r="P42" s="4" t="n">
        <x:f>P40*'Assumptions'!E28</x:f>
        <x:v>1075.4745</x:v>
      </x:c>
      <x:c r="Q42" s="4" t="n">
        <x:f>Q40*'Assumptions'!E28</x:f>
        <x:v>1075.4745</x:v>
      </x:c>
      <x:c r="R42" s="4" t="n">
        <x:f>R40*'Assumptions'!E28</x:f>
        <x:v>1075.4745</x:v>
      </x:c>
      <x:c r="S42" s="4" t="n">
        <x:f>S40*'Assumptions'!E28</x:f>
        <x:v>1075.4745</x:v>
      </x:c>
      <x:c r="T42" s="4" t="n">
        <x:f>T40*'Assumptions'!E28</x:f>
        <x:v>1075.4745</x:v>
      </x:c>
      <x:c r="U42" s="4" t="n">
        <x:f>U40*'Assumptions'!E28</x:f>
        <x:v>1075.4745</x:v>
      </x:c>
      <x:c r="V42" s="4" t="n">
        <x:f>V40*'Assumptions'!E28</x:f>
        <x:v>1075.4745</x:v>
      </x:c>
      <x:c r="W42" s="4" t="n">
        <x:f>W40*'Assumptions'!E28</x:f>
        <x:v>1075.4745</x:v>
      </x:c>
      <x:c r="X42" s="4" t="n">
        <x:f>X40*'Assumptions'!E28</x:f>
        <x:v>1075.4745</x:v>
      </x:c>
      <x:c r="Y42" s="4" t="n">
        <x:f>Y40*'Assumptions'!E28</x:f>
        <x:v>1075.4745</x:v>
      </x:c>
      <x:c r="Z42" s="4" t="n">
        <x:f>Z40*'Assumptions'!E28</x:f>
        <x:v>1075.4745</x:v>
      </x:c>
      <x:c r="AA42" s="4" t="n">
        <x:f>AA40*'Assumptions'!E28</x:f>
        <x:v>1075.4745</x:v>
      </x:c>
      <x:c r="AB42" s="4" t="n">
        <x:f>AB40*'Assumptions'!F28</x:f>
        <x:v>1107.738735</x:v>
      </x:c>
      <x:c r="AC42" s="4" t="n">
        <x:f>AC40*'Assumptions'!F28</x:f>
        <x:v>1107.738735</x:v>
      </x:c>
      <x:c r="AD42" s="4" t="n">
        <x:f>AD40*'Assumptions'!F28</x:f>
        <x:v>1107.738735</x:v>
      </x:c>
      <x:c r="AE42" s="4" t="n">
        <x:f>AE40*'Assumptions'!F28</x:f>
        <x:v>1107.738735</x:v>
      </x:c>
      <x:c r="AF42" s="4" t="n">
        <x:f>AF40*'Assumptions'!F28</x:f>
        <x:v>1107.738735</x:v>
      </x:c>
      <x:c r="AG42" s="4" t="n">
        <x:f>AG40*'Assumptions'!F28</x:f>
        <x:v>1107.738735</x:v>
      </x:c>
      <x:c r="AH42" s="4" t="n">
        <x:f>AH40*'Assumptions'!F28</x:f>
        <x:v>1107.738735</x:v>
      </x:c>
      <x:c r="AI42" s="4" t="n">
        <x:f>AI40*'Assumptions'!F28</x:f>
        <x:v>1107.738735</x:v>
      </x:c>
      <x:c r="AJ42" s="4" t="n">
        <x:f>AJ40*'Assumptions'!F28</x:f>
        <x:v>1107.738735</x:v>
      </x:c>
      <x:c r="AK42" s="4" t="n">
        <x:f>AK40*'Assumptions'!F28</x:f>
        <x:v>1107.738735</x:v>
      </x:c>
      <x:c r="AL42" s="4" t="n">
        <x:f>AL40*'Assumptions'!F28</x:f>
        <x:v>1107.738735</x:v>
      </x:c>
      <x:c r="AM42" s="4" t="n">
        <x:f>AM40*'Assumptions'!F28</x:f>
        <x:v>1107.738735</x:v>
      </x:c>
      <x:c r="AN42" s="2"/>
    </x:row>
    <x:row r="43" ht="21" customHeight="1">
      <x:c r="A43" s="1"/>
      <x:c r="B43" s="1"/>
      <x:c r="C43" s="1" t="str">
        <x:v>Health contribution</x:v>
      </x:c>
      <x:c r="D43" s="4" t="n">
        <x:f>'Assumptions'!D29*'Assumptions'!D30*D16/12</x:f>
        <x:v>5256.666666666667</x:v>
      </x:c>
      <x:c r="E43" s="4" t="n">
        <x:f>'Assumptions'!D29*'Assumptions'!D30*E16/12</x:f>
        <x:v>5256.666666666667</x:v>
      </x:c>
      <x:c r="F43" s="4" t="n">
        <x:f>'Assumptions'!D29*'Assumptions'!D30*F16/12</x:f>
        <x:v>5256.666666666667</x:v>
      </x:c>
      <x:c r="G43" s="4" t="n">
        <x:f>'Assumptions'!D29*'Assumptions'!D30*G16/12</x:f>
        <x:v>5256.666666666667</x:v>
      </x:c>
      <x:c r="H43" s="4" t="n">
        <x:f>'Assumptions'!D29*'Assumptions'!D30*H16/12</x:f>
        <x:v>5256.666666666667</x:v>
      </x:c>
      <x:c r="I43" s="4" t="n">
        <x:f>'Assumptions'!D29*'Assumptions'!D30*I16/12</x:f>
        <x:v>5256.666666666667</x:v>
      </x:c>
      <x:c r="J43" s="4" t="n">
        <x:f>'Assumptions'!D29*'Assumptions'!D30*J16/12</x:f>
        <x:v>5256.666666666667</x:v>
      </x:c>
      <x:c r="K43" s="4" t="n">
        <x:f>'Assumptions'!D29*'Assumptions'!D30*K16/12</x:f>
        <x:v>5256.666666666667</x:v>
      </x:c>
      <x:c r="L43" s="4" t="n">
        <x:f>'Assumptions'!D29*'Assumptions'!D30*L16/12</x:f>
        <x:v>5256.666666666667</x:v>
      </x:c>
      <x:c r="M43" s="4" t="n">
        <x:f>'Assumptions'!D29*'Assumptions'!D30*M16/12</x:f>
        <x:v>5256.666666666667</x:v>
      </x:c>
      <x:c r="N43" s="4" t="n">
        <x:f>'Assumptions'!D29*'Assumptions'!D30*N16/12</x:f>
        <x:v>5256.666666666667</x:v>
      </x:c>
      <x:c r="O43" s="4" t="n">
        <x:f>'Assumptions'!D29*'Assumptions'!D30*O16/12</x:f>
        <x:v>5256.666666666667</x:v>
      </x:c>
      <x:c r="P43" s="4" t="n">
        <x:f>'Assumptions'!E29*'Assumptions'!E30*P16/12</x:f>
        <x:v>5572.066666666667</x:v>
      </x:c>
      <x:c r="Q43" s="4" t="n">
        <x:f>'Assumptions'!E29*'Assumptions'!E30*Q16/12</x:f>
        <x:v>5572.066666666667</x:v>
      </x:c>
      <x:c r="R43" s="4" t="n">
        <x:f>'Assumptions'!E29*'Assumptions'!E30*R16/12</x:f>
        <x:v>5572.066666666667</x:v>
      </x:c>
      <x:c r="S43" s="4" t="n">
        <x:f>'Assumptions'!E29*'Assumptions'!E30*S16/12</x:f>
        <x:v>5572.066666666667</x:v>
      </x:c>
      <x:c r="T43" s="4" t="n">
        <x:f>'Assumptions'!E29*'Assumptions'!E30*T16/12</x:f>
        <x:v>5572.066666666667</x:v>
      </x:c>
      <x:c r="U43" s="4" t="n">
        <x:f>'Assumptions'!E29*'Assumptions'!E30*U16/12</x:f>
        <x:v>5572.066666666667</x:v>
      </x:c>
      <x:c r="V43" s="4" t="n">
        <x:f>'Assumptions'!E29*'Assumptions'!E30*V16/12</x:f>
        <x:v>5572.066666666667</x:v>
      </x:c>
      <x:c r="W43" s="4" t="n">
        <x:f>'Assumptions'!E29*'Assumptions'!E30*W16/12</x:f>
        <x:v>5572.066666666667</x:v>
      </x:c>
      <x:c r="X43" s="4" t="n">
        <x:f>'Assumptions'!E29*'Assumptions'!E30*X16/12</x:f>
        <x:v>5572.066666666667</x:v>
      </x:c>
      <x:c r="Y43" s="4" t="n">
        <x:f>'Assumptions'!E29*'Assumptions'!E30*Y16/12</x:f>
        <x:v>5572.066666666667</x:v>
      </x:c>
      <x:c r="Z43" s="4" t="n">
        <x:f>'Assumptions'!E29*'Assumptions'!E30*Z16/12</x:f>
        <x:v>5572.066666666667</x:v>
      </x:c>
      <x:c r="AA43" s="4" t="n">
        <x:f>'Assumptions'!E29*'Assumptions'!E30*AA16/12</x:f>
        <x:v>5572.066666666667</x:v>
      </x:c>
      <x:c r="AB43" s="4" t="n">
        <x:f>'Assumptions'!F29*'Assumptions'!F30*AB16/12</x:f>
        <x:v>5906.390666666667</x:v>
      </x:c>
      <x:c r="AC43" s="4" t="n">
        <x:f>'Assumptions'!F29*'Assumptions'!F30*AC16/12</x:f>
        <x:v>5906.390666666667</x:v>
      </x:c>
      <x:c r="AD43" s="4" t="n">
        <x:f>'Assumptions'!F29*'Assumptions'!F30*AD16/12</x:f>
        <x:v>5906.390666666667</x:v>
      </x:c>
      <x:c r="AE43" s="4" t="n">
        <x:f>'Assumptions'!F29*'Assumptions'!F30*AE16/12</x:f>
        <x:v>5906.390666666667</x:v>
      </x:c>
      <x:c r="AF43" s="4" t="n">
        <x:f>'Assumptions'!F29*'Assumptions'!F30*AF16/12</x:f>
        <x:v>5906.390666666667</x:v>
      </x:c>
      <x:c r="AG43" s="4" t="n">
        <x:f>'Assumptions'!F29*'Assumptions'!F30*AG16/12</x:f>
        <x:v>5906.390666666667</x:v>
      </x:c>
      <x:c r="AH43" s="4" t="n">
        <x:f>'Assumptions'!F29*'Assumptions'!F30*AH16/12</x:f>
        <x:v>5906.390666666667</x:v>
      </x:c>
      <x:c r="AI43" s="4" t="n">
        <x:f>'Assumptions'!F29*'Assumptions'!F30*AI16/12</x:f>
        <x:v>5906.390666666667</x:v>
      </x:c>
      <x:c r="AJ43" s="4" t="n">
        <x:f>'Assumptions'!F29*'Assumptions'!F30*AJ16/12</x:f>
        <x:v>5906.390666666667</x:v>
      </x:c>
      <x:c r="AK43" s="4" t="n">
        <x:f>'Assumptions'!F29*'Assumptions'!F30*AK16/12</x:f>
        <x:v>5906.390666666667</x:v>
      </x:c>
      <x:c r="AL43" s="4" t="n">
        <x:f>'Assumptions'!F29*'Assumptions'!F30*AL16/12</x:f>
        <x:v>5906.390666666667</x:v>
      </x:c>
      <x:c r="AM43" s="4" t="n">
        <x:f>'Assumptions'!F29*'Assumptions'!F30*AM16/12</x:f>
        <x:v>5906.390666666667</x:v>
      </x:c>
      <x:c r="AN43" s="2"/>
    </x:row>
    <x:row r="44" ht="21" customHeight="1">
      <x:c r="A44" s="1"/>
      <x:c r="B44" s="1"/>
      <x:c r="C44" s="1" t="str">
        <x:v>Dental / vision</x:v>
      </x:c>
      <x:c r="D44" s="4" t="n">
        <x:f>'Assumptions'!D29*'Assumptions'!D32*D15/12</x:f>
        <x:v>400</x:v>
      </x:c>
      <x:c r="E44" s="4" t="n">
        <x:f>'Assumptions'!D29*'Assumptions'!D32*E15/12</x:f>
        <x:v>400</x:v>
      </x:c>
      <x:c r="F44" s="4" t="n">
        <x:f>'Assumptions'!D29*'Assumptions'!D32*F15/12</x:f>
        <x:v>400</x:v>
      </x:c>
      <x:c r="G44" s="4" t="n">
        <x:f>'Assumptions'!D29*'Assumptions'!D32*G15/12</x:f>
        <x:v>400</x:v>
      </x:c>
      <x:c r="H44" s="4" t="n">
        <x:f>'Assumptions'!D29*'Assumptions'!D32*H15/12</x:f>
        <x:v>400</x:v>
      </x:c>
      <x:c r="I44" s="4" t="n">
        <x:f>'Assumptions'!D29*'Assumptions'!D32*I15/12</x:f>
        <x:v>400</x:v>
      </x:c>
      <x:c r="J44" s="4" t="n">
        <x:f>'Assumptions'!D29*'Assumptions'!D32*J15/12</x:f>
        <x:v>400</x:v>
      </x:c>
      <x:c r="K44" s="4" t="n">
        <x:f>'Assumptions'!D29*'Assumptions'!D32*K15/12</x:f>
        <x:v>400</x:v>
      </x:c>
      <x:c r="L44" s="4" t="n">
        <x:f>'Assumptions'!D29*'Assumptions'!D32*L15/12</x:f>
        <x:v>400</x:v>
      </x:c>
      <x:c r="M44" s="4" t="n">
        <x:f>'Assumptions'!D29*'Assumptions'!D32*M15/12</x:f>
        <x:v>400</x:v>
      </x:c>
      <x:c r="N44" s="4" t="n">
        <x:f>'Assumptions'!D29*'Assumptions'!D32*N15/12</x:f>
        <x:v>400</x:v>
      </x:c>
      <x:c r="O44" s="4" t="n">
        <x:f>'Assumptions'!D29*'Assumptions'!D32*O15/12</x:f>
        <x:v>400</x:v>
      </x:c>
      <x:c r="P44" s="4" t="n">
        <x:f>'Assumptions'!E29*'Assumptions'!E32*P15/12</x:f>
        <x:v>412</x:v>
      </x:c>
      <x:c r="Q44" s="4" t="n">
        <x:f>'Assumptions'!E29*'Assumptions'!E32*Q15/12</x:f>
        <x:v>412</x:v>
      </x:c>
      <x:c r="R44" s="4" t="n">
        <x:f>'Assumptions'!E29*'Assumptions'!E32*R15/12</x:f>
        <x:v>412</x:v>
      </x:c>
      <x:c r="S44" s="4" t="n">
        <x:f>'Assumptions'!E29*'Assumptions'!E32*S15/12</x:f>
        <x:v>412</x:v>
      </x:c>
      <x:c r="T44" s="4" t="n">
        <x:f>'Assumptions'!E29*'Assumptions'!E32*T15/12</x:f>
        <x:v>412</x:v>
      </x:c>
      <x:c r="U44" s="4" t="n">
        <x:f>'Assumptions'!E29*'Assumptions'!E32*U15/12</x:f>
        <x:v>412</x:v>
      </x:c>
      <x:c r="V44" s="4" t="n">
        <x:f>'Assumptions'!E29*'Assumptions'!E32*V15/12</x:f>
        <x:v>412</x:v>
      </x:c>
      <x:c r="W44" s="4" t="n">
        <x:f>'Assumptions'!E29*'Assumptions'!E32*W15/12</x:f>
        <x:v>412</x:v>
      </x:c>
      <x:c r="X44" s="4" t="n">
        <x:f>'Assumptions'!E29*'Assumptions'!E32*X15/12</x:f>
        <x:v>412</x:v>
      </x:c>
      <x:c r="Y44" s="4" t="n">
        <x:f>'Assumptions'!E29*'Assumptions'!E32*Y15/12</x:f>
        <x:v>412</x:v>
      </x:c>
      <x:c r="Z44" s="4" t="n">
        <x:f>'Assumptions'!E29*'Assumptions'!E32*Z15/12</x:f>
        <x:v>412</x:v>
      </x:c>
      <x:c r="AA44" s="4" t="n">
        <x:f>'Assumptions'!E29*'Assumptions'!E32*AA15/12</x:f>
        <x:v>412</x:v>
      </x:c>
      <x:c r="AB44" s="4" t="n">
        <x:f>'Assumptions'!F29*'Assumptions'!F32*AB15/12</x:f>
        <x:v>424.35999999999996</x:v>
      </x:c>
      <x:c r="AC44" s="4" t="n">
        <x:f>'Assumptions'!F29*'Assumptions'!F32*AC15/12</x:f>
        <x:v>424.35999999999996</x:v>
      </x:c>
      <x:c r="AD44" s="4" t="n">
        <x:f>'Assumptions'!F29*'Assumptions'!F32*AD15/12</x:f>
        <x:v>424.35999999999996</x:v>
      </x:c>
      <x:c r="AE44" s="4" t="n">
        <x:f>'Assumptions'!F29*'Assumptions'!F32*AE15/12</x:f>
        <x:v>424.35999999999996</x:v>
      </x:c>
      <x:c r="AF44" s="4" t="n">
        <x:f>'Assumptions'!F29*'Assumptions'!F32*AF15/12</x:f>
        <x:v>424.35999999999996</x:v>
      </x:c>
      <x:c r="AG44" s="4" t="n">
        <x:f>'Assumptions'!F29*'Assumptions'!F32*AG15/12</x:f>
        <x:v>424.35999999999996</x:v>
      </x:c>
      <x:c r="AH44" s="4" t="n">
        <x:f>'Assumptions'!F29*'Assumptions'!F32*AH15/12</x:f>
        <x:v>424.35999999999996</x:v>
      </x:c>
      <x:c r="AI44" s="4" t="n">
        <x:f>'Assumptions'!F29*'Assumptions'!F32*AI15/12</x:f>
        <x:v>424.35999999999996</x:v>
      </x:c>
      <x:c r="AJ44" s="4" t="n">
        <x:f>'Assumptions'!F29*'Assumptions'!F32*AJ15/12</x:f>
        <x:v>424.35999999999996</x:v>
      </x:c>
      <x:c r="AK44" s="4" t="n">
        <x:f>'Assumptions'!F29*'Assumptions'!F32*AK15/12</x:f>
        <x:v>424.35999999999996</x:v>
      </x:c>
      <x:c r="AL44" s="4" t="n">
        <x:f>'Assumptions'!F29*'Assumptions'!F32*AL15/12</x:f>
        <x:v>424.35999999999996</x:v>
      </x:c>
      <x:c r="AM44" s="4" t="n">
        <x:f>'Assumptions'!F29*'Assumptions'!F32*AM15/12</x:f>
        <x:v>424.35999999999996</x:v>
      </x:c>
      <x:c r="AN44" s="2"/>
    </x:row>
    <x:row r="45" ht="21" customHeight="1">
      <x:c r="A45" s="1"/>
      <x:c r="B45" s="1"/>
      <x:c r="C45" s="1" t="str">
        <x:v>Retirement contribution</x:v>
      </x:c>
      <x:c r="D45" s="4" t="n">
        <x:f>D40*'Assumptions'!D33</x:f>
        <x:v>696.1000000000001</x:v>
      </x:c>
      <x:c r="E45" s="4" t="n">
        <x:f>E40*'Assumptions'!D33</x:f>
        <x:v>696.1000000000001</x:v>
      </x:c>
      <x:c r="F45" s="4" t="n">
        <x:f>F40*'Assumptions'!D33</x:f>
        <x:v>696.1000000000001</x:v>
      </x:c>
      <x:c r="G45" s="4" t="n">
        <x:f>G40*'Assumptions'!D33</x:f>
        <x:v>696.1000000000001</x:v>
      </x:c>
      <x:c r="H45" s="4" t="n">
        <x:f>H40*'Assumptions'!D33</x:f>
        <x:v>696.1000000000001</x:v>
      </x:c>
      <x:c r="I45" s="4" t="n">
        <x:f>I40*'Assumptions'!D33</x:f>
        <x:v>696.1000000000001</x:v>
      </x:c>
      <x:c r="J45" s="4" t="n">
        <x:f>J40*'Assumptions'!D33</x:f>
        <x:v>696.1000000000001</x:v>
      </x:c>
      <x:c r="K45" s="4" t="n">
        <x:f>K40*'Assumptions'!D33</x:f>
        <x:v>696.1000000000001</x:v>
      </x:c>
      <x:c r="L45" s="4" t="n">
        <x:f>L40*'Assumptions'!D33</x:f>
        <x:v>696.1000000000001</x:v>
      </x:c>
      <x:c r="M45" s="4" t="n">
        <x:f>M40*'Assumptions'!D33</x:f>
        <x:v>696.1000000000001</x:v>
      </x:c>
      <x:c r="N45" s="4" t="n">
        <x:f>N40*'Assumptions'!D33</x:f>
        <x:v>696.1000000000001</x:v>
      </x:c>
      <x:c r="O45" s="4" t="n">
        <x:f>O40*'Assumptions'!D33</x:f>
        <x:v>696.1000000000001</x:v>
      </x:c>
      <x:c r="P45" s="4" t="n">
        <x:f>P40*'Assumptions'!E33</x:f>
        <x:v>716.9830000000001</x:v>
      </x:c>
      <x:c r="Q45" s="4" t="n">
        <x:f>Q40*'Assumptions'!E33</x:f>
        <x:v>716.9830000000001</x:v>
      </x:c>
      <x:c r="R45" s="4" t="n">
        <x:f>R40*'Assumptions'!E33</x:f>
        <x:v>716.9830000000001</x:v>
      </x:c>
      <x:c r="S45" s="4" t="n">
        <x:f>S40*'Assumptions'!E33</x:f>
        <x:v>716.9830000000001</x:v>
      </x:c>
      <x:c r="T45" s="4" t="n">
        <x:f>T40*'Assumptions'!E33</x:f>
        <x:v>716.9830000000001</x:v>
      </x:c>
      <x:c r="U45" s="4" t="n">
        <x:f>U40*'Assumptions'!E33</x:f>
        <x:v>716.9830000000001</x:v>
      </x:c>
      <x:c r="V45" s="4" t="n">
        <x:f>V40*'Assumptions'!E33</x:f>
        <x:v>716.9830000000001</x:v>
      </x:c>
      <x:c r="W45" s="4" t="n">
        <x:f>W40*'Assumptions'!E33</x:f>
        <x:v>716.9830000000001</x:v>
      </x:c>
      <x:c r="X45" s="4" t="n">
        <x:f>X40*'Assumptions'!E33</x:f>
        <x:v>716.9830000000001</x:v>
      </x:c>
      <x:c r="Y45" s="4" t="n">
        <x:f>Y40*'Assumptions'!E33</x:f>
        <x:v>716.9830000000001</x:v>
      </x:c>
      <x:c r="Z45" s="4" t="n">
        <x:f>Z40*'Assumptions'!E33</x:f>
        <x:v>716.9830000000001</x:v>
      </x:c>
      <x:c r="AA45" s="4" t="n">
        <x:f>AA40*'Assumptions'!E33</x:f>
        <x:v>716.9830000000001</x:v>
      </x:c>
      <x:c r="AB45" s="4" t="n">
        <x:f>AB40*'Assumptions'!F33</x:f>
        <x:v>738.49249</x:v>
      </x:c>
      <x:c r="AC45" s="4" t="n">
        <x:f>AC40*'Assumptions'!F33</x:f>
        <x:v>738.49249</x:v>
      </x:c>
      <x:c r="AD45" s="4" t="n">
        <x:f>AD40*'Assumptions'!F33</x:f>
        <x:v>738.49249</x:v>
      </x:c>
      <x:c r="AE45" s="4" t="n">
        <x:f>AE40*'Assumptions'!F33</x:f>
        <x:v>738.49249</x:v>
      </x:c>
      <x:c r="AF45" s="4" t="n">
        <x:f>AF40*'Assumptions'!F33</x:f>
        <x:v>738.49249</x:v>
      </x:c>
      <x:c r="AG45" s="4" t="n">
        <x:f>AG40*'Assumptions'!F33</x:f>
        <x:v>738.49249</x:v>
      </x:c>
      <x:c r="AH45" s="4" t="n">
        <x:f>AH40*'Assumptions'!F33</x:f>
        <x:v>738.49249</x:v>
      </x:c>
      <x:c r="AI45" s="4" t="n">
        <x:f>AI40*'Assumptions'!F33</x:f>
        <x:v>738.49249</x:v>
      </x:c>
      <x:c r="AJ45" s="4" t="n">
        <x:f>AJ40*'Assumptions'!F33</x:f>
        <x:v>738.49249</x:v>
      </x:c>
      <x:c r="AK45" s="4" t="n">
        <x:f>AK40*'Assumptions'!F33</x:f>
        <x:v>738.49249</x:v>
      </x:c>
      <x:c r="AL45" s="4" t="n">
        <x:f>AL40*'Assumptions'!F33</x:f>
        <x:v>738.49249</x:v>
      </x:c>
      <x:c r="AM45" s="4" t="n">
        <x:f>AM40*'Assumptions'!F33</x:f>
        <x:v>738.49249</x:v>
      </x:c>
      <x:c r="AN45" s="2"/>
    </x:row>
    <x:row r="46" ht="21" customHeight="1">
      <x:c r="A46" s="1"/>
      <x:c r="B46" s="1"/>
      <x:c r="C46" s="1" t="str">
        <x:v>Incentive provision</x:v>
      </x:c>
      <x:c r="D46" s="4" t="n">
        <x:f>D40*'Assumptions'!D34</x:f>
        <x:v>348.05000000000007</x:v>
      </x:c>
      <x:c r="E46" s="4" t="n">
        <x:f>E40*'Assumptions'!D34</x:f>
        <x:v>348.05000000000007</x:v>
      </x:c>
      <x:c r="F46" s="4" t="n">
        <x:f>F40*'Assumptions'!D34</x:f>
        <x:v>348.05000000000007</x:v>
      </x:c>
      <x:c r="G46" s="4" t="n">
        <x:f>G40*'Assumptions'!D34</x:f>
        <x:v>348.05000000000007</x:v>
      </x:c>
      <x:c r="H46" s="4" t="n">
        <x:f>H40*'Assumptions'!D34</x:f>
        <x:v>348.05000000000007</x:v>
      </x:c>
      <x:c r="I46" s="4" t="n">
        <x:f>I40*'Assumptions'!D34</x:f>
        <x:v>348.05000000000007</x:v>
      </x:c>
      <x:c r="J46" s="4" t="n">
        <x:f>J40*'Assumptions'!D34</x:f>
        <x:v>348.05000000000007</x:v>
      </x:c>
      <x:c r="K46" s="4" t="n">
        <x:f>K40*'Assumptions'!D34</x:f>
        <x:v>348.05000000000007</x:v>
      </x:c>
      <x:c r="L46" s="4" t="n">
        <x:f>L40*'Assumptions'!D34</x:f>
        <x:v>348.05000000000007</x:v>
      </x:c>
      <x:c r="M46" s="4" t="n">
        <x:f>M40*'Assumptions'!D34</x:f>
        <x:v>348.05000000000007</x:v>
      </x:c>
      <x:c r="N46" s="4" t="n">
        <x:f>N40*'Assumptions'!D34</x:f>
        <x:v>348.05000000000007</x:v>
      </x:c>
      <x:c r="O46" s="4" t="n">
        <x:f>O40*'Assumptions'!D34</x:f>
        <x:v>348.05000000000007</x:v>
      </x:c>
      <x:c r="P46" s="4" t="n">
        <x:f>P40*'Assumptions'!E34</x:f>
        <x:v>358.49150000000003</x:v>
      </x:c>
      <x:c r="Q46" s="4" t="n">
        <x:f>Q40*'Assumptions'!E34</x:f>
        <x:v>358.49150000000003</x:v>
      </x:c>
      <x:c r="R46" s="4" t="n">
        <x:f>R40*'Assumptions'!E34</x:f>
        <x:v>358.49150000000003</x:v>
      </x:c>
      <x:c r="S46" s="4" t="n">
        <x:f>S40*'Assumptions'!E34</x:f>
        <x:v>358.49150000000003</x:v>
      </x:c>
      <x:c r="T46" s="4" t="n">
        <x:f>T40*'Assumptions'!E34</x:f>
        <x:v>358.49150000000003</x:v>
      </x:c>
      <x:c r="U46" s="4" t="n">
        <x:f>U40*'Assumptions'!E34</x:f>
        <x:v>358.49150000000003</x:v>
      </x:c>
      <x:c r="V46" s="4" t="n">
        <x:f>V40*'Assumptions'!E34</x:f>
        <x:v>358.49150000000003</x:v>
      </x:c>
      <x:c r="W46" s="4" t="n">
        <x:f>W40*'Assumptions'!E34</x:f>
        <x:v>358.49150000000003</x:v>
      </x:c>
      <x:c r="X46" s="4" t="n">
        <x:f>X40*'Assumptions'!E34</x:f>
        <x:v>358.49150000000003</x:v>
      </x:c>
      <x:c r="Y46" s="4" t="n">
        <x:f>Y40*'Assumptions'!E34</x:f>
        <x:v>358.49150000000003</x:v>
      </x:c>
      <x:c r="Z46" s="4" t="n">
        <x:f>Z40*'Assumptions'!E34</x:f>
        <x:v>358.49150000000003</x:v>
      </x:c>
      <x:c r="AA46" s="4" t="n">
        <x:f>AA40*'Assumptions'!E34</x:f>
        <x:v>358.49150000000003</x:v>
      </x:c>
      <x:c r="AB46" s="4" t="n">
        <x:f>AB40*'Assumptions'!F34</x:f>
        <x:v>369.246245</x:v>
      </x:c>
      <x:c r="AC46" s="4" t="n">
        <x:f>AC40*'Assumptions'!F34</x:f>
        <x:v>369.246245</x:v>
      </x:c>
      <x:c r="AD46" s="4" t="n">
        <x:f>AD40*'Assumptions'!F34</x:f>
        <x:v>369.246245</x:v>
      </x:c>
      <x:c r="AE46" s="4" t="n">
        <x:f>AE40*'Assumptions'!F34</x:f>
        <x:v>369.246245</x:v>
      </x:c>
      <x:c r="AF46" s="4" t="n">
        <x:f>AF40*'Assumptions'!F34</x:f>
        <x:v>369.246245</x:v>
      </x:c>
      <x:c r="AG46" s="4" t="n">
        <x:f>AG40*'Assumptions'!F34</x:f>
        <x:v>369.246245</x:v>
      </x:c>
      <x:c r="AH46" s="4" t="n">
        <x:f>AH40*'Assumptions'!F34</x:f>
        <x:v>369.246245</x:v>
      </x:c>
      <x:c r="AI46" s="4" t="n">
        <x:f>AI40*'Assumptions'!F34</x:f>
        <x:v>369.246245</x:v>
      </x:c>
      <x:c r="AJ46" s="4" t="n">
        <x:f>AJ40*'Assumptions'!F34</x:f>
        <x:v>369.246245</x:v>
      </x:c>
      <x:c r="AK46" s="4" t="n">
        <x:f>AK40*'Assumptions'!F34</x:f>
        <x:v>369.246245</x:v>
      </x:c>
      <x:c r="AL46" s="4" t="n">
        <x:f>AL40*'Assumptions'!F34</x:f>
        <x:v>369.246245</x:v>
      </x:c>
      <x:c r="AM46" s="4" t="n">
        <x:f>AM40*'Assumptions'!F34</x:f>
        <x:v>369.246245</x:v>
      </x:c>
      <x:c r="AN46" s="2"/>
    </x:row>
    <x:row r="47" ht="21" customHeight="1">
      <x:c r="A47" s="1"/>
      <x:c r="B47" s="1"/>
      <x:c r="C47" s="10" t="str">
        <x:v>Core payroll</x:v>
      </x:c>
      <x:c r="D47" s="11" t="n">
        <x:f>SUM(D40:D46)</x:f>
        <x:v>45212.54916666667</x:v>
      </x:c>
      <x:c r="E47" s="11" t="n">
        <x:f>SUM(E40:E46)</x:f>
        <x:v>45212.54916666667</x:v>
      </x:c>
      <x:c r="F47" s="11" t="n">
        <x:f>SUM(F40:F46)</x:f>
        <x:v>45212.54916666667</x:v>
      </x:c>
      <x:c r="G47" s="11" t="n">
        <x:f>SUM(G40:G46)</x:f>
        <x:v>45212.54916666667</x:v>
      </x:c>
      <x:c r="H47" s="11" t="n">
        <x:f>SUM(H40:H46)</x:f>
        <x:v>45212.54916666667</x:v>
      </x:c>
      <x:c r="I47" s="11" t="n">
        <x:f>SUM(I40:I46)</x:f>
        <x:v>45212.54916666667</x:v>
      </x:c>
      <x:c r="J47" s="11" t="n">
        <x:f>SUM(J40:J46)</x:f>
        <x:v>45212.54916666667</x:v>
      </x:c>
      <x:c r="K47" s="11" t="n">
        <x:f>SUM(K40:K46)</x:f>
        <x:v>45212.54916666667</x:v>
      </x:c>
      <x:c r="L47" s="11" t="n">
        <x:f>SUM(L40:L46)</x:f>
        <x:v>45212.54916666667</x:v>
      </x:c>
      <x:c r="M47" s="11" t="n">
        <x:f>SUM(M40:M46)</x:f>
        <x:v>45212.54916666667</x:v>
      </x:c>
      <x:c r="N47" s="11" t="n">
        <x:f>SUM(N40:N46)</x:f>
        <x:v>45212.54916666667</x:v>
      </x:c>
      <x:c r="O47" s="11" t="n">
        <x:f>SUM(O40:O46)</x:f>
        <x:v>45212.54916666667</x:v>
      </x:c>
      <x:c r="P47" s="11" t="n">
        <x:f>SUM(P40:P46)</x:f>
        <x:v>46726.62564166666</x:v>
      </x:c>
      <x:c r="Q47" s="11" t="n">
        <x:f>SUM(Q40:Q46)</x:f>
        <x:v>46726.62564166666</x:v>
      </x:c>
      <x:c r="R47" s="11" t="n">
        <x:f>SUM(R40:R46)</x:f>
        <x:v>46726.62564166666</x:v>
      </x:c>
      <x:c r="S47" s="11" t="n">
        <x:f>SUM(S40:S46)</x:f>
        <x:v>46726.62564166666</x:v>
      </x:c>
      <x:c r="T47" s="11" t="n">
        <x:f>SUM(T40:T46)</x:f>
        <x:v>46726.62564166666</x:v>
      </x:c>
      <x:c r="U47" s="11" t="n">
        <x:f>SUM(U40:U46)</x:f>
        <x:v>46726.62564166666</x:v>
      </x:c>
      <x:c r="V47" s="11" t="n">
        <x:f>SUM(V40:V46)</x:f>
        <x:v>46726.62564166666</x:v>
      </x:c>
      <x:c r="W47" s="11" t="n">
        <x:f>SUM(W40:W46)</x:f>
        <x:v>46726.62564166666</x:v>
      </x:c>
      <x:c r="X47" s="11" t="n">
        <x:f>SUM(X40:X46)</x:f>
        <x:v>46726.62564166666</x:v>
      </x:c>
      <x:c r="Y47" s="11" t="n">
        <x:f>SUM(Y40:Y46)</x:f>
        <x:v>46726.62564166666</x:v>
      </x:c>
      <x:c r="Z47" s="11" t="n">
        <x:f>SUM(Z40:Z46)</x:f>
        <x:v>46726.62564166666</x:v>
      </x:c>
      <x:c r="AA47" s="11" t="n">
        <x:f>SUM(AA40:AA46)</x:f>
        <x:v>46726.62564166666</x:v>
      </x:c>
      <x:c r="AB47" s="11" t="n">
        <x:f>SUM(AB40:AB46)</x:f>
        <x:v>48295.586410916665</x:v>
      </x:c>
      <x:c r="AC47" s="11" t="n">
        <x:f>SUM(AC40:AC46)</x:f>
        <x:v>48295.586410916665</x:v>
      </x:c>
      <x:c r="AD47" s="11" t="n">
        <x:f>SUM(AD40:AD46)</x:f>
        <x:v>48295.586410916665</x:v>
      </x:c>
      <x:c r="AE47" s="11" t="n">
        <x:f>SUM(AE40:AE46)</x:f>
        <x:v>48295.586410916665</x:v>
      </x:c>
      <x:c r="AF47" s="11" t="n">
        <x:f>SUM(AF40:AF46)</x:f>
        <x:v>48295.586410916665</x:v>
      </x:c>
      <x:c r="AG47" s="11" t="n">
        <x:f>SUM(AG40:AG46)</x:f>
        <x:v>48295.586410916665</x:v>
      </x:c>
      <x:c r="AH47" s="11" t="n">
        <x:f>SUM(AH40:AH46)</x:f>
        <x:v>48295.586410916665</x:v>
      </x:c>
      <x:c r="AI47" s="11" t="n">
        <x:f>SUM(AI40:AI46)</x:f>
        <x:v>48295.586410916665</x:v>
      </x:c>
      <x:c r="AJ47" s="11" t="n">
        <x:f>SUM(AJ40:AJ46)</x:f>
        <x:v>48295.586410916665</x:v>
      </x:c>
      <x:c r="AK47" s="11" t="n">
        <x:f>SUM(AK40:AK46)</x:f>
        <x:v>48295.586410916665</x:v>
      </x:c>
      <x:c r="AL47" s="11" t="n">
        <x:f>SUM(AL40:AL46)</x:f>
        <x:v>48295.586410916665</x:v>
      </x:c>
      <x:c r="AM47" s="11" t="n">
        <x:f>SUM(AM40:AM46)</x:f>
        <x:v>48295.586410916665</x:v>
      </x:c>
      <x:c r="AN47" s="2"/>
    </x:row>
    <x:row r="48" ht="21" customHeight="1">
      <x:c r="A48" s="1"/>
      <x:c r="B48" s="1"/>
      <x:c r="C48" s="1" t="str">
        <x:v>Employer tax on tips</x:v>
      </x:c>
      <x:c r="D48" s="4" t="n">
        <x:f>D27*'Assumptions'!D43*'Assumptions'!D27</x:f>
        <x:v>382.1175</x:v>
      </x:c>
      <x:c r="E48" s="4" t="n">
        <x:f>E27*'Assumptions'!D43*'Assumptions'!D27</x:f>
        <x:v>458.541</x:v>
      </x:c>
      <x:c r="F48" s="4" t="n">
        <x:f>F27*'Assumptions'!D43*'Assumptions'!D27</x:f>
        <x:v>534.9645</x:v>
      </x:c>
      <x:c r="G48" s="4" t="n">
        <x:f>G27*'Assumptions'!D43*'Assumptions'!D27</x:f>
        <x:v>573.17625</x:v>
      </x:c>
      <x:c r="H48" s="4" t="n">
        <x:f>H27*'Assumptions'!D43*'Assumptions'!D27</x:f>
        <x:v>611.388</x:v>
      </x:c>
      <x:c r="I48" s="4" t="n">
        <x:f>I27*'Assumptions'!D43*'Assumptions'!D27</x:f>
        <x:v>649.59975</x:v>
      </x:c>
      <x:c r="J48" s="4" t="n">
        <x:f>J27*'Assumptions'!D43*'Assumptions'!D27</x:f>
        <x:v>687.8115</x:v>
      </x:c>
      <x:c r="K48" s="4" t="n">
        <x:f>K27*'Assumptions'!D43*'Assumptions'!D27</x:f>
        <x:v>726.02325</x:v>
      </x:c>
      <x:c r="L48" s="4" t="n">
        <x:f>L27*'Assumptions'!D43*'Assumptions'!D27</x:f>
        <x:v>764.235</x:v>
      </x:c>
      <x:c r="M48" s="4" t="n">
        <x:f>M27*'Assumptions'!D43*'Assumptions'!D27</x:f>
        <x:v>764.235</x:v>
      </x:c>
      <x:c r="N48" s="4" t="n">
        <x:f>N27*'Assumptions'!D43*'Assumptions'!D27</x:f>
        <x:v>764.235</x:v>
      </x:c>
      <x:c r="O48" s="4" t="n">
        <x:f>O27*'Assumptions'!D43*'Assumptions'!D27</x:f>
        <x:v>764.235</x:v>
      </x:c>
      <x:c r="P48" s="4" t="n">
        <x:f>P27*'Assumptions'!E43*'Assumptions'!E27</x:f>
        <x:v>787.16205</x:v>
      </x:c>
      <x:c r="Q48" s="4" t="n">
        <x:f>Q27*'Assumptions'!E43*'Assumptions'!E27</x:f>
        <x:v>787.16205</x:v>
      </x:c>
      <x:c r="R48" s="4" t="n">
        <x:f>R27*'Assumptions'!E43*'Assumptions'!E27</x:f>
        <x:v>787.16205</x:v>
      </x:c>
      <x:c r="S48" s="4" t="n">
        <x:f>S27*'Assumptions'!E43*'Assumptions'!E27</x:f>
        <x:v>787.16205</x:v>
      </x:c>
      <x:c r="T48" s="4" t="n">
        <x:f>T27*'Assumptions'!E43*'Assumptions'!E27</x:f>
        <x:v>787.16205</x:v>
      </x:c>
      <x:c r="U48" s="4" t="n">
        <x:f>U27*'Assumptions'!E43*'Assumptions'!E27</x:f>
        <x:v>787.16205</x:v>
      </x:c>
      <x:c r="V48" s="4" t="n">
        <x:f>V27*'Assumptions'!E43*'Assumptions'!E27</x:f>
        <x:v>787.16205</x:v>
      </x:c>
      <x:c r="W48" s="4" t="n">
        <x:f>W27*'Assumptions'!E43*'Assumptions'!E27</x:f>
        <x:v>787.16205</x:v>
      </x:c>
      <x:c r="X48" s="4" t="n">
        <x:f>X27*'Assumptions'!E43*'Assumptions'!E27</x:f>
        <x:v>787.16205</x:v>
      </x:c>
      <x:c r="Y48" s="4" t="n">
        <x:f>Y27*'Assumptions'!E43*'Assumptions'!E27</x:f>
        <x:v>787.16205</x:v>
      </x:c>
      <x:c r="Z48" s="4" t="n">
        <x:f>Z27*'Assumptions'!E43*'Assumptions'!E27</x:f>
        <x:v>787.16205</x:v>
      </x:c>
      <x:c r="AA48" s="4" t="n">
        <x:f>AA27*'Assumptions'!E43*'Assumptions'!E27</x:f>
        <x:v>787.16205</x:v>
      </x:c>
      <x:c r="AB48" s="4" t="n">
        <x:f>AB27*'Assumptions'!F43*'Assumptions'!F27</x:f>
        <x:v>810.7769115000001</x:v>
      </x:c>
      <x:c r="AC48" s="4" t="n">
        <x:f>AC27*'Assumptions'!F43*'Assumptions'!F27</x:f>
        <x:v>810.7769115000001</x:v>
      </x:c>
      <x:c r="AD48" s="4" t="n">
        <x:f>AD27*'Assumptions'!F43*'Assumptions'!F27</x:f>
        <x:v>810.7769115000001</x:v>
      </x:c>
      <x:c r="AE48" s="4" t="n">
        <x:f>AE27*'Assumptions'!F43*'Assumptions'!F27</x:f>
        <x:v>810.7769115000001</x:v>
      </x:c>
      <x:c r="AF48" s="4" t="n">
        <x:f>AF27*'Assumptions'!F43*'Assumptions'!F27</x:f>
        <x:v>810.7769115000001</x:v>
      </x:c>
      <x:c r="AG48" s="4" t="n">
        <x:f>AG27*'Assumptions'!F43*'Assumptions'!F27</x:f>
        <x:v>810.7769115000001</x:v>
      </x:c>
      <x:c r="AH48" s="4" t="n">
        <x:f>AH27*'Assumptions'!F43*'Assumptions'!F27</x:f>
        <x:v>810.7769115000001</x:v>
      </x:c>
      <x:c r="AI48" s="4" t="n">
        <x:f>AI27*'Assumptions'!F43*'Assumptions'!F27</x:f>
        <x:v>810.7769115000001</x:v>
      </x:c>
      <x:c r="AJ48" s="4" t="n">
        <x:f>AJ27*'Assumptions'!F43*'Assumptions'!F27</x:f>
        <x:v>810.7769115000001</x:v>
      </x:c>
      <x:c r="AK48" s="4" t="n">
        <x:f>AK27*'Assumptions'!F43*'Assumptions'!F27</x:f>
        <x:v>810.7769115000001</x:v>
      </x:c>
      <x:c r="AL48" s="4" t="n">
        <x:f>AL27*'Assumptions'!F43*'Assumptions'!F27</x:f>
        <x:v>810.7769115000001</x:v>
      </x:c>
      <x:c r="AM48" s="4" t="n">
        <x:f>AM27*'Assumptions'!F43*'Assumptions'!F27</x:f>
        <x:v>810.7769115000001</x:v>
      </x:c>
      <x:c r="AN48" s="2"/>
    </x:row>
    <x:row r="49" ht="21" customHeight="1">
      <x:c r="A49" s="1"/>
      <x:c r="B49" s="1"/>
      <x:c r="C49" s="10" t="str">
        <x:v>Total payroll</x:v>
      </x:c>
      <x:c r="D49" s="11" t="n">
        <x:f>SUM(D47:D48)</x:f>
        <x:v>45594.66666666667</x:v>
      </x:c>
      <x:c r="E49" s="11" t="n">
        <x:f>SUM(E47:E48)</x:f>
        <x:v>45671.09016666667</x:v>
      </x:c>
      <x:c r="F49" s="11" t="n">
        <x:f>SUM(F47:F48)</x:f>
        <x:v>45747.51366666667</x:v>
      </x:c>
      <x:c r="G49" s="11" t="n">
        <x:f>SUM(G47:G48)</x:f>
        <x:v>45785.72541666667</x:v>
      </x:c>
      <x:c r="H49" s="11" t="n">
        <x:f>SUM(H47:H48)</x:f>
        <x:v>45823.93716666667</x:v>
      </x:c>
      <x:c r="I49" s="11" t="n">
        <x:f>SUM(I47:I48)</x:f>
        <x:v>45862.14891666667</x:v>
      </x:c>
      <x:c r="J49" s="11" t="n">
        <x:f>SUM(J47:J48)</x:f>
        <x:v>45900.360666666675</x:v>
      </x:c>
      <x:c r="K49" s="11" t="n">
        <x:f>SUM(K47:K48)</x:f>
        <x:v>45938.57241666667</x:v>
      </x:c>
      <x:c r="L49" s="11" t="n">
        <x:f>SUM(L47:L48)</x:f>
        <x:v>45976.78416666667</x:v>
      </x:c>
      <x:c r="M49" s="11" t="n">
        <x:f>SUM(M47:M48)</x:f>
        <x:v>45976.78416666667</x:v>
      </x:c>
      <x:c r="N49" s="11" t="n">
        <x:f>SUM(N47:N48)</x:f>
        <x:v>45976.78416666667</x:v>
      </x:c>
      <x:c r="O49" s="11" t="n">
        <x:f>SUM(O47:O48)</x:f>
        <x:v>45976.78416666667</x:v>
      </x:c>
      <x:c r="P49" s="11" t="n">
        <x:f>SUM(P47:P48)</x:f>
        <x:v>47513.78769166666</x:v>
      </x:c>
      <x:c r="Q49" s="11" t="n">
        <x:f>SUM(Q47:Q48)</x:f>
        <x:v>47513.78769166666</x:v>
      </x:c>
      <x:c r="R49" s="11" t="n">
        <x:f>SUM(R47:R48)</x:f>
        <x:v>47513.78769166666</x:v>
      </x:c>
      <x:c r="S49" s="11" t="n">
        <x:f>SUM(S47:S48)</x:f>
        <x:v>47513.78769166666</x:v>
      </x:c>
      <x:c r="T49" s="11" t="n">
        <x:f>SUM(T47:T48)</x:f>
        <x:v>47513.78769166666</x:v>
      </x:c>
      <x:c r="U49" s="11" t="n">
        <x:f>SUM(U47:U48)</x:f>
        <x:v>47513.78769166666</x:v>
      </x:c>
      <x:c r="V49" s="11" t="n">
        <x:f>SUM(V47:V48)</x:f>
        <x:v>47513.78769166666</x:v>
      </x:c>
      <x:c r="W49" s="11" t="n">
        <x:f>SUM(W47:W48)</x:f>
        <x:v>47513.78769166666</x:v>
      </x:c>
      <x:c r="X49" s="11" t="n">
        <x:f>SUM(X47:X48)</x:f>
        <x:v>47513.78769166666</x:v>
      </x:c>
      <x:c r="Y49" s="11" t="n">
        <x:f>SUM(Y47:Y48)</x:f>
        <x:v>47513.78769166666</x:v>
      </x:c>
      <x:c r="Z49" s="11" t="n">
        <x:f>SUM(Z47:Z48)</x:f>
        <x:v>47513.78769166666</x:v>
      </x:c>
      <x:c r="AA49" s="11" t="n">
        <x:f>SUM(AA47:AA48)</x:f>
        <x:v>47513.78769166666</x:v>
      </x:c>
      <x:c r="AB49" s="11" t="n">
        <x:f>SUM(AB47:AB48)</x:f>
        <x:v>49106.36332241666</x:v>
      </x:c>
      <x:c r="AC49" s="11" t="n">
        <x:f>SUM(AC47:AC48)</x:f>
        <x:v>49106.36332241666</x:v>
      </x:c>
      <x:c r="AD49" s="11" t="n">
        <x:f>SUM(AD47:AD48)</x:f>
        <x:v>49106.36332241666</x:v>
      </x:c>
      <x:c r="AE49" s="11" t="n">
        <x:f>SUM(AE47:AE48)</x:f>
        <x:v>49106.36332241666</x:v>
      </x:c>
      <x:c r="AF49" s="11" t="n">
        <x:f>SUM(AF47:AF48)</x:f>
        <x:v>49106.36332241666</x:v>
      </x:c>
      <x:c r="AG49" s="11" t="n">
        <x:f>SUM(AG47:AG48)</x:f>
        <x:v>49106.36332241666</x:v>
      </x:c>
      <x:c r="AH49" s="11" t="n">
        <x:f>SUM(AH47:AH48)</x:f>
        <x:v>49106.36332241666</x:v>
      </x:c>
      <x:c r="AI49" s="11" t="n">
        <x:f>SUM(AI47:AI48)</x:f>
        <x:v>49106.36332241666</x:v>
      </x:c>
      <x:c r="AJ49" s="11" t="n">
        <x:f>SUM(AJ47:AJ48)</x:f>
        <x:v>49106.36332241666</x:v>
      </x:c>
      <x:c r="AK49" s="11" t="n">
        <x:f>SUM(AK47:AK48)</x:f>
        <x:v>49106.36332241666</x:v>
      </x:c>
      <x:c r="AL49" s="11" t="n">
        <x:f>SUM(AL47:AL48)</x:f>
        <x:v>49106.36332241666</x:v>
      </x:c>
      <x:c r="AM49" s="11" t="n">
        <x:f>SUM(AM47:AM48)</x:f>
        <x:v>49106.36332241666</x:v>
      </x:c>
      <x:c r="AN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1" customHeight="1">
      <x:c r="A51" s="1"/>
      <x:c r="B51" s="1"/>
      <x:c r="C51" s="1" t="str">
        <x:v>Occupancy</x:v>
      </x:c>
      <x:c r="D51" s="4" t="n">
        <x:f>SUM('Assumptions'!D35,'Assumptions'!D36)*D17/12</x:f>
        <x:v>12000</x:v>
      </x:c>
      <x:c r="E51" s="4" t="n">
        <x:f>SUM('Assumptions'!D35,'Assumptions'!D36)*E17/12</x:f>
        <x:v>12000</x:v>
      </x:c>
      <x:c r="F51" s="4" t="n">
        <x:f>SUM('Assumptions'!D35,'Assumptions'!D36)*F17/12</x:f>
        <x:v>12000</x:v>
      </x:c>
      <x:c r="G51" s="4" t="n">
        <x:f>SUM('Assumptions'!D35,'Assumptions'!D36)*G17/12</x:f>
        <x:v>12000</x:v>
      </x:c>
      <x:c r="H51" s="4" t="n">
        <x:f>SUM('Assumptions'!D35,'Assumptions'!D36)*H17/12</x:f>
        <x:v>12000</x:v>
      </x:c>
      <x:c r="I51" s="4" t="n">
        <x:f>SUM('Assumptions'!D35,'Assumptions'!D36)*I17/12</x:f>
        <x:v>12000</x:v>
      </x:c>
      <x:c r="J51" s="4" t="n">
        <x:f>SUM('Assumptions'!D35,'Assumptions'!D36)*J17/12</x:f>
        <x:v>12000</x:v>
      </x:c>
      <x:c r="K51" s="4" t="n">
        <x:f>SUM('Assumptions'!D35,'Assumptions'!D36)*K17/12</x:f>
        <x:v>12000</x:v>
      </x:c>
      <x:c r="L51" s="4" t="n">
        <x:f>SUM('Assumptions'!D35,'Assumptions'!D36)*L17/12</x:f>
        <x:v>12000</x:v>
      </x:c>
      <x:c r="M51" s="4" t="n">
        <x:f>SUM('Assumptions'!D35,'Assumptions'!D36)*M17/12</x:f>
        <x:v>12000</x:v>
      </x:c>
      <x:c r="N51" s="4" t="n">
        <x:f>SUM('Assumptions'!D35,'Assumptions'!D36)*N17/12</x:f>
        <x:v>12000</x:v>
      </x:c>
      <x:c r="O51" s="4" t="n">
        <x:f>SUM('Assumptions'!D35,'Assumptions'!D36)*O17/12</x:f>
        <x:v>12000</x:v>
      </x:c>
      <x:c r="P51" s="4" t="n">
        <x:f>SUM('Assumptions'!E35,'Assumptions'!E36)*P17/12</x:f>
        <x:v>12360</x:v>
      </x:c>
      <x:c r="Q51" s="4" t="n">
        <x:f>SUM('Assumptions'!E35,'Assumptions'!E36)*Q17/12</x:f>
        <x:v>12360</x:v>
      </x:c>
      <x:c r="R51" s="4" t="n">
        <x:f>SUM('Assumptions'!E35,'Assumptions'!E36)*R17/12</x:f>
        <x:v>12360</x:v>
      </x:c>
      <x:c r="S51" s="4" t="n">
        <x:f>SUM('Assumptions'!E35,'Assumptions'!E36)*S17/12</x:f>
        <x:v>12360</x:v>
      </x:c>
      <x:c r="T51" s="4" t="n">
        <x:f>SUM('Assumptions'!E35,'Assumptions'!E36)*T17/12</x:f>
        <x:v>12360</x:v>
      </x:c>
      <x:c r="U51" s="4" t="n">
        <x:f>SUM('Assumptions'!E35,'Assumptions'!E36)*U17/12</x:f>
        <x:v>12360</x:v>
      </x:c>
      <x:c r="V51" s="4" t="n">
        <x:f>SUM('Assumptions'!E35,'Assumptions'!E36)*V17/12</x:f>
        <x:v>12360</x:v>
      </x:c>
      <x:c r="W51" s="4" t="n">
        <x:f>SUM('Assumptions'!E35,'Assumptions'!E36)*W17/12</x:f>
        <x:v>12360</x:v>
      </x:c>
      <x:c r="X51" s="4" t="n">
        <x:f>SUM('Assumptions'!E35,'Assumptions'!E36)*X17/12</x:f>
        <x:v>12360</x:v>
      </x:c>
      <x:c r="Y51" s="4" t="n">
        <x:f>SUM('Assumptions'!E35,'Assumptions'!E36)*Y17/12</x:f>
        <x:v>12360</x:v>
      </x:c>
      <x:c r="Z51" s="4" t="n">
        <x:f>SUM('Assumptions'!E35,'Assumptions'!E36)*Z17/12</x:f>
        <x:v>12360</x:v>
      </x:c>
      <x:c r="AA51" s="4" t="n">
        <x:f>SUM('Assumptions'!E35,'Assumptions'!E36)*AA17/12</x:f>
        <x:v>12360</x:v>
      </x:c>
      <x:c r="AB51" s="4" t="n">
        <x:f>SUM('Assumptions'!F35,'Assumptions'!F36)*AB17/12</x:f>
        <x:v>12730.800000000001</x:v>
      </x:c>
      <x:c r="AC51" s="4" t="n">
        <x:f>SUM('Assumptions'!F35,'Assumptions'!F36)*AC17/12</x:f>
        <x:v>12730.800000000001</x:v>
      </x:c>
      <x:c r="AD51" s="4" t="n">
        <x:f>SUM('Assumptions'!F35,'Assumptions'!F36)*AD17/12</x:f>
        <x:v>12730.800000000001</x:v>
      </x:c>
      <x:c r="AE51" s="4" t="n">
        <x:f>SUM('Assumptions'!F35,'Assumptions'!F36)*AE17/12</x:f>
        <x:v>12730.800000000001</x:v>
      </x:c>
      <x:c r="AF51" s="4" t="n">
        <x:f>SUM('Assumptions'!F35,'Assumptions'!F36)*AF17/12</x:f>
        <x:v>12730.800000000001</x:v>
      </x:c>
      <x:c r="AG51" s="4" t="n">
        <x:f>SUM('Assumptions'!F35,'Assumptions'!F36)*AG17/12</x:f>
        <x:v>12730.800000000001</x:v>
      </x:c>
      <x:c r="AH51" s="4" t="n">
        <x:f>SUM('Assumptions'!F35,'Assumptions'!F36)*AH17/12</x:f>
        <x:v>12730.800000000001</x:v>
      </x:c>
      <x:c r="AI51" s="4" t="n">
        <x:f>SUM('Assumptions'!F35,'Assumptions'!F36)*AI17/12</x:f>
        <x:v>12730.800000000001</x:v>
      </x:c>
      <x:c r="AJ51" s="4" t="n">
        <x:f>SUM('Assumptions'!F35,'Assumptions'!F36)*AJ17/12</x:f>
        <x:v>12730.800000000001</x:v>
      </x:c>
      <x:c r="AK51" s="4" t="n">
        <x:f>SUM('Assumptions'!F35,'Assumptions'!F36)*AK17/12</x:f>
        <x:v>12730.800000000001</x:v>
      </x:c>
      <x:c r="AL51" s="4" t="n">
        <x:f>SUM('Assumptions'!F35,'Assumptions'!F36)*AL17/12</x:f>
        <x:v>12730.800000000001</x:v>
      </x:c>
      <x:c r="AM51" s="4" t="n">
        <x:f>SUM('Assumptions'!F35,'Assumptions'!F36)*AM17/12</x:f>
        <x:v>12730.800000000001</x:v>
      </x:c>
      <x:c r="AN51" s="2"/>
    </x:row>
    <x:row r="52" ht="21" customHeight="1">
      <x:c r="A52" s="1"/>
      <x:c r="B52" s="1"/>
      <x:c r="C52" s="1" t="str">
        <x:v>Other fixed operating costs</x:v>
      </x:c>
      <x:c r="D52" s="4" t="n">
        <x:f>'Assumptions'!D37*D17/12</x:f>
        <x:v>6000</x:v>
      </x:c>
      <x:c r="E52" s="4" t="n">
        <x:f>'Assumptions'!D37*E17/12</x:f>
        <x:v>6000</x:v>
      </x:c>
      <x:c r="F52" s="4" t="n">
        <x:f>'Assumptions'!D37*F17/12</x:f>
        <x:v>6000</x:v>
      </x:c>
      <x:c r="G52" s="4" t="n">
        <x:f>'Assumptions'!D37*G17/12</x:f>
        <x:v>6000</x:v>
      </x:c>
      <x:c r="H52" s="4" t="n">
        <x:f>'Assumptions'!D37*H17/12</x:f>
        <x:v>6000</x:v>
      </x:c>
      <x:c r="I52" s="4" t="n">
        <x:f>'Assumptions'!D37*I17/12</x:f>
        <x:v>6000</x:v>
      </x:c>
      <x:c r="J52" s="4" t="n">
        <x:f>'Assumptions'!D37*J17/12</x:f>
        <x:v>6000</x:v>
      </x:c>
      <x:c r="K52" s="4" t="n">
        <x:f>'Assumptions'!D37*K17/12</x:f>
        <x:v>6000</x:v>
      </x:c>
      <x:c r="L52" s="4" t="n">
        <x:f>'Assumptions'!D37*L17/12</x:f>
        <x:v>6000</x:v>
      </x:c>
      <x:c r="M52" s="4" t="n">
        <x:f>'Assumptions'!D37*M17/12</x:f>
        <x:v>6000</x:v>
      </x:c>
      <x:c r="N52" s="4" t="n">
        <x:f>'Assumptions'!D37*N17/12</x:f>
        <x:v>6000</x:v>
      </x:c>
      <x:c r="O52" s="4" t="n">
        <x:f>'Assumptions'!D37*O17/12</x:f>
        <x:v>6000</x:v>
      </x:c>
      <x:c r="P52" s="4" t="n">
        <x:f>'Assumptions'!E37*P17/12</x:f>
        <x:v>6180</x:v>
      </x:c>
      <x:c r="Q52" s="4" t="n">
        <x:f>'Assumptions'!E37*Q17/12</x:f>
        <x:v>6180</x:v>
      </x:c>
      <x:c r="R52" s="4" t="n">
        <x:f>'Assumptions'!E37*R17/12</x:f>
        <x:v>6180</x:v>
      </x:c>
      <x:c r="S52" s="4" t="n">
        <x:f>'Assumptions'!E37*S17/12</x:f>
        <x:v>6180</x:v>
      </x:c>
      <x:c r="T52" s="4" t="n">
        <x:f>'Assumptions'!E37*T17/12</x:f>
        <x:v>6180</x:v>
      </x:c>
      <x:c r="U52" s="4" t="n">
        <x:f>'Assumptions'!E37*U17/12</x:f>
        <x:v>6180</x:v>
      </x:c>
      <x:c r="V52" s="4" t="n">
        <x:f>'Assumptions'!E37*V17/12</x:f>
        <x:v>6180</x:v>
      </x:c>
      <x:c r="W52" s="4" t="n">
        <x:f>'Assumptions'!E37*W17/12</x:f>
        <x:v>6180</x:v>
      </x:c>
      <x:c r="X52" s="4" t="n">
        <x:f>'Assumptions'!E37*X17/12</x:f>
        <x:v>6180</x:v>
      </x:c>
      <x:c r="Y52" s="4" t="n">
        <x:f>'Assumptions'!E37*Y17/12</x:f>
        <x:v>6180</x:v>
      </x:c>
      <x:c r="Z52" s="4" t="n">
        <x:f>'Assumptions'!E37*Z17/12</x:f>
        <x:v>6180</x:v>
      </x:c>
      <x:c r="AA52" s="4" t="n">
        <x:f>'Assumptions'!E37*AA17/12</x:f>
        <x:v>6180</x:v>
      </x:c>
      <x:c r="AB52" s="4" t="n">
        <x:f>'Assumptions'!F37*AB17/12</x:f>
        <x:v>6365.400000000001</x:v>
      </x:c>
      <x:c r="AC52" s="4" t="n">
        <x:f>'Assumptions'!F37*AC17/12</x:f>
        <x:v>6365.400000000001</x:v>
      </x:c>
      <x:c r="AD52" s="4" t="n">
        <x:f>'Assumptions'!F37*AD17/12</x:f>
        <x:v>6365.400000000001</x:v>
      </x:c>
      <x:c r="AE52" s="4" t="n">
        <x:f>'Assumptions'!F37*AE17/12</x:f>
        <x:v>6365.400000000001</x:v>
      </x:c>
      <x:c r="AF52" s="4" t="n">
        <x:f>'Assumptions'!F37*AF17/12</x:f>
        <x:v>6365.400000000001</x:v>
      </x:c>
      <x:c r="AG52" s="4" t="n">
        <x:f>'Assumptions'!F37*AG17/12</x:f>
        <x:v>6365.400000000001</x:v>
      </x:c>
      <x:c r="AH52" s="4" t="n">
        <x:f>'Assumptions'!F37*AH17/12</x:f>
        <x:v>6365.400000000001</x:v>
      </x:c>
      <x:c r="AI52" s="4" t="n">
        <x:f>'Assumptions'!F37*AI17/12</x:f>
        <x:v>6365.400000000001</x:v>
      </x:c>
      <x:c r="AJ52" s="4" t="n">
        <x:f>'Assumptions'!F37*AJ17/12</x:f>
        <x:v>6365.400000000001</x:v>
      </x:c>
      <x:c r="AK52" s="4" t="n">
        <x:f>'Assumptions'!F37*AK17/12</x:f>
        <x:v>6365.400000000001</x:v>
      </x:c>
      <x:c r="AL52" s="4" t="n">
        <x:f>'Assumptions'!F37*AL17/12</x:f>
        <x:v>6365.400000000001</x:v>
      </x:c>
      <x:c r="AM52" s="4" t="n">
        <x:f>'Assumptions'!F37*AM17/12</x:f>
        <x:v>6365.400000000001</x:v>
      </x:c>
      <x:c r="AN52" s="2"/>
    </x:row>
    <x:row r="53" ht="21" customHeight="1">
      <x:c r="A53" s="1"/>
      <x:c r="B53" s="1"/>
      <x:c r="C53" s="1" t="str">
        <x:v>Merchant processing fees</x:v>
      </x:c>
      <x:c r="D53" s="4" t="n">
        <x:f>'Assumptions'!D39*('Assumptions'!D40*D27*(1+'Assumptions'!D42+'Assumptions'!D43)+'Assumptions'!D41*D22)</x:f>
        <x:v>1753.9466625000002</x:v>
      </x:c>
      <x:c r="E53" s="4" t="n">
        <x:f>'Assumptions'!D39*('Assumptions'!D40*E27*(1+'Assumptions'!D42+'Assumptions'!D43)+'Assumptions'!D41*E22)</x:f>
        <x:v>2104.735995</x:v>
      </x:c>
      <x:c r="F53" s="4" t="n">
        <x:f>'Assumptions'!D39*('Assumptions'!D40*F27*(1+'Assumptions'!D42+'Assumptions'!D43)+'Assumptions'!D41*F22)</x:f>
        <x:v>2455.5253275</x:v>
      </x:c>
      <x:c r="G53" s="4" t="n">
        <x:f>'Assumptions'!D39*('Assumptions'!D40*G27*(1+'Assumptions'!D42+'Assumptions'!D43)+'Assumptions'!D41*G22)</x:f>
        <x:v>2630.9199937500007</x:v>
      </x:c>
      <x:c r="H53" s="4" t="n">
        <x:f>'Assumptions'!D39*('Assumptions'!D40*H27*(1+'Assumptions'!D42+'Assumptions'!D43)+'Assumptions'!D41*H22)</x:f>
        <x:v>2806.3146600000005</x:v>
      </x:c>
      <x:c r="I53" s="4" t="n">
        <x:f>'Assumptions'!D39*('Assumptions'!D40*I27*(1+'Assumptions'!D42+'Assumptions'!D43)+'Assumptions'!D41*I22)</x:f>
        <x:v>2981.7093262500007</x:v>
      </x:c>
      <x:c r="J53" s="4" t="n">
        <x:f>'Assumptions'!D39*('Assumptions'!D40*J27*(1+'Assumptions'!D42+'Assumptions'!D43)+'Assumptions'!D41*J22)</x:f>
        <x:v>3157.1039925000005</x:v>
      </x:c>
      <x:c r="K53" s="4" t="n">
        <x:f>'Assumptions'!D39*('Assumptions'!D40*K27*(1+'Assumptions'!D42+'Assumptions'!D43)+'Assumptions'!D41*K22)</x:f>
        <x:v>3332.4986587500002</x:v>
      </x:c>
      <x:c r="L53" s="4" t="n">
        <x:f>'Assumptions'!D39*('Assumptions'!D40*L27*(1+'Assumptions'!D42+'Assumptions'!D43)+'Assumptions'!D41*L22)</x:f>
        <x:v>3507.8933250000005</x:v>
      </x:c>
      <x:c r="M53" s="4" t="n">
        <x:f>'Assumptions'!D39*('Assumptions'!D40*M27*(1+'Assumptions'!D42+'Assumptions'!D43)+'Assumptions'!D41*M22)</x:f>
        <x:v>3507.8933250000005</x:v>
      </x:c>
      <x:c r="N53" s="4" t="n">
        <x:f>'Assumptions'!D39*('Assumptions'!D40*N27*(1+'Assumptions'!D42+'Assumptions'!D43)+'Assumptions'!D41*N22)</x:f>
        <x:v>3507.8933250000005</x:v>
      </x:c>
      <x:c r="O53" s="4" t="n">
        <x:f>'Assumptions'!D39*('Assumptions'!D40*O27*(1+'Assumptions'!D42+'Assumptions'!D43)+'Assumptions'!D41*O22)</x:f>
        <x:v>3507.8933250000005</x:v>
      </x:c>
      <x:c r="P53" s="4" t="n">
        <x:f>'Assumptions'!E39*('Assumptions'!E40*P27*(1+'Assumptions'!E42+'Assumptions'!E43)+'Assumptions'!E41*P22)</x:f>
        <x:v>3591.26012475</x:v>
      </x:c>
      <x:c r="Q53" s="4" t="n">
        <x:f>'Assumptions'!E39*('Assumptions'!E40*Q27*(1+'Assumptions'!E42+'Assumptions'!E43)+'Assumptions'!E41*Q22)</x:f>
        <x:v>3591.26012475</x:v>
      </x:c>
      <x:c r="R53" s="4" t="n">
        <x:f>'Assumptions'!E39*('Assumptions'!E40*R27*(1+'Assumptions'!E42+'Assumptions'!E43)+'Assumptions'!E41*R22)</x:f>
        <x:v>3591.26012475</x:v>
      </x:c>
      <x:c r="S53" s="4" t="n">
        <x:f>'Assumptions'!E39*('Assumptions'!E40*S27*(1+'Assumptions'!E42+'Assumptions'!E43)+'Assumptions'!E41*S22)</x:f>
        <x:v>3591.26012475</x:v>
      </x:c>
      <x:c r="T53" s="4" t="n">
        <x:f>'Assumptions'!E39*('Assumptions'!E40*T27*(1+'Assumptions'!E42+'Assumptions'!E43)+'Assumptions'!E41*T22)</x:f>
        <x:v>3591.26012475</x:v>
      </x:c>
      <x:c r="U53" s="4" t="n">
        <x:f>'Assumptions'!E39*('Assumptions'!E40*U27*(1+'Assumptions'!E42+'Assumptions'!E43)+'Assumptions'!E41*U22)</x:f>
        <x:v>3591.26012475</x:v>
      </x:c>
      <x:c r="V53" s="4" t="n">
        <x:f>'Assumptions'!E39*('Assumptions'!E40*V27*(1+'Assumptions'!E42+'Assumptions'!E43)+'Assumptions'!E41*V22)</x:f>
        <x:v>3591.26012475</x:v>
      </x:c>
      <x:c r="W53" s="4" t="n">
        <x:f>'Assumptions'!E39*('Assumptions'!E40*W27*(1+'Assumptions'!E42+'Assumptions'!E43)+'Assumptions'!E41*W22)</x:f>
        <x:v>3591.26012475</x:v>
      </x:c>
      <x:c r="X53" s="4" t="n">
        <x:f>'Assumptions'!E39*('Assumptions'!E40*X27*(1+'Assumptions'!E42+'Assumptions'!E43)+'Assumptions'!E41*X22)</x:f>
        <x:v>3591.26012475</x:v>
      </x:c>
      <x:c r="Y53" s="4" t="n">
        <x:f>'Assumptions'!E39*('Assumptions'!E40*Y27*(1+'Assumptions'!E42+'Assumptions'!E43)+'Assumptions'!E41*Y22)</x:f>
        <x:v>3591.26012475</x:v>
      </x:c>
      <x:c r="Z53" s="4" t="n">
        <x:f>'Assumptions'!E39*('Assumptions'!E40*Z27*(1+'Assumptions'!E42+'Assumptions'!E43)+'Assumptions'!E41*Z22)</x:f>
        <x:v>3591.26012475</x:v>
      </x:c>
      <x:c r="AA53" s="4" t="n">
        <x:f>'Assumptions'!E39*('Assumptions'!E40*AA27*(1+'Assumptions'!E42+'Assumptions'!E43)+'Assumptions'!E41*AA22)</x:f>
        <x:v>3591.26012475</x:v>
      </x:c>
      <x:c r="AB53" s="4" t="n">
        <x:f>'Assumptions'!F39*('Assumptions'!F40*AB27*(1+'Assumptions'!F42+'Assumptions'!F43)+'Assumptions'!F41*AB22)</x:f>
        <x:v>3677.1279284925004</x:v>
      </x:c>
      <x:c r="AC53" s="4" t="n">
        <x:f>'Assumptions'!F39*('Assumptions'!F40*AC27*(1+'Assumptions'!F42+'Assumptions'!F43)+'Assumptions'!F41*AC22)</x:f>
        <x:v>3677.1279284925004</x:v>
      </x:c>
      <x:c r="AD53" s="4" t="n">
        <x:f>'Assumptions'!F39*('Assumptions'!F40*AD27*(1+'Assumptions'!F42+'Assumptions'!F43)+'Assumptions'!F41*AD22)</x:f>
        <x:v>3677.1279284925004</x:v>
      </x:c>
      <x:c r="AE53" s="4" t="n">
        <x:f>'Assumptions'!F39*('Assumptions'!F40*AE27*(1+'Assumptions'!F42+'Assumptions'!F43)+'Assumptions'!F41*AE22)</x:f>
        <x:v>3677.1279284925004</x:v>
      </x:c>
      <x:c r="AF53" s="4" t="n">
        <x:f>'Assumptions'!F39*('Assumptions'!F40*AF27*(1+'Assumptions'!F42+'Assumptions'!F43)+'Assumptions'!F41*AF22)</x:f>
        <x:v>3677.1279284925004</x:v>
      </x:c>
      <x:c r="AG53" s="4" t="n">
        <x:f>'Assumptions'!F39*('Assumptions'!F40*AG27*(1+'Assumptions'!F42+'Assumptions'!F43)+'Assumptions'!F41*AG22)</x:f>
        <x:v>3677.1279284925004</x:v>
      </x:c>
      <x:c r="AH53" s="4" t="n">
        <x:f>'Assumptions'!F39*('Assumptions'!F40*AH27*(1+'Assumptions'!F42+'Assumptions'!F43)+'Assumptions'!F41*AH22)</x:f>
        <x:v>3677.1279284925004</x:v>
      </x:c>
      <x:c r="AI53" s="4" t="n">
        <x:f>'Assumptions'!F39*('Assumptions'!F40*AI27*(1+'Assumptions'!F42+'Assumptions'!F43)+'Assumptions'!F41*AI22)</x:f>
        <x:v>3677.1279284925004</x:v>
      </x:c>
      <x:c r="AJ53" s="4" t="n">
        <x:f>'Assumptions'!F39*('Assumptions'!F40*AJ27*(1+'Assumptions'!F42+'Assumptions'!F43)+'Assumptions'!F41*AJ22)</x:f>
        <x:v>3677.1279284925004</x:v>
      </x:c>
      <x:c r="AK53" s="4" t="n">
        <x:f>'Assumptions'!F39*('Assumptions'!F40*AK27*(1+'Assumptions'!F42+'Assumptions'!F43)+'Assumptions'!F41*AK22)</x:f>
        <x:v>3677.1279284925004</x:v>
      </x:c>
      <x:c r="AL53" s="4" t="n">
        <x:f>'Assumptions'!F39*('Assumptions'!F40*AL27*(1+'Assumptions'!F42+'Assumptions'!F43)+'Assumptions'!F41*AL22)</x:f>
        <x:v>3677.1279284925004</x:v>
      </x:c>
      <x:c r="AM53" s="4" t="n">
        <x:f>'Assumptions'!F39*('Assumptions'!F40*AM27*(1+'Assumptions'!F42+'Assumptions'!F43)+'Assumptions'!F41*AM22)</x:f>
        <x:v>3677.1279284925004</x:v>
      </x:c>
      <x:c r="AN53" s="2"/>
    </x:row>
    <x:row r="54" ht="21" customHeight="1">
      <x:c r="A54" s="1"/>
      <x:c r="B54" s="1"/>
      <x:c r="C54" s="1" t="str">
        <x:v>Marketing</x:v>
      </x:c>
      <x:c r="D54" s="4" t="n">
        <x:f>D27*'Assumptions'!D44</x:f>
        <x:v>999</x:v>
      </x:c>
      <x:c r="E54" s="4" t="n">
        <x:f>E27*'Assumptions'!D44</x:f>
        <x:v>1198.8</x:v>
      </x:c>
      <x:c r="F54" s="4" t="n">
        <x:f>F27*'Assumptions'!D44</x:f>
        <x:v>1398.6000000000001</x:v>
      </x:c>
      <x:c r="G54" s="4" t="n">
        <x:f>G27*'Assumptions'!D44</x:f>
        <x:v>1498.5</x:v>
      </x:c>
      <x:c r="H54" s="4" t="n">
        <x:f>H27*'Assumptions'!D44</x:f>
        <x:v>1598.4</x:v>
      </x:c>
      <x:c r="I54" s="4" t="n">
        <x:f>I27*'Assumptions'!D44</x:f>
        <x:v>1698.3</x:v>
      </x:c>
      <x:c r="J54" s="4" t="n">
        <x:f>J27*'Assumptions'!D44</x:f>
        <x:v>1798.2</x:v>
      </x:c>
      <x:c r="K54" s="4" t="n">
        <x:f>K27*'Assumptions'!D44</x:f>
        <x:v>1898.1000000000001</x:v>
      </x:c>
      <x:c r="L54" s="4" t="n">
        <x:f>L27*'Assumptions'!D44</x:f>
        <x:v>1998</x:v>
      </x:c>
      <x:c r="M54" s="4" t="n">
        <x:f>M27*'Assumptions'!D44</x:f>
        <x:v>1998</x:v>
      </x:c>
      <x:c r="N54" s="4" t="n">
        <x:f>N27*'Assumptions'!D44</x:f>
        <x:v>1998</x:v>
      </x:c>
      <x:c r="O54" s="4" t="n">
        <x:f>O27*'Assumptions'!D44</x:f>
        <x:v>1998</x:v>
      </x:c>
      <x:c r="P54" s="4" t="n">
        <x:f>P27*'Assumptions'!E44</x:f>
        <x:v>2057.94</x:v>
      </x:c>
      <x:c r="Q54" s="4" t="n">
        <x:f>Q27*'Assumptions'!E44</x:f>
        <x:v>2057.94</x:v>
      </x:c>
      <x:c r="R54" s="4" t="n">
        <x:f>R27*'Assumptions'!E44</x:f>
        <x:v>2057.94</x:v>
      </x:c>
      <x:c r="S54" s="4" t="n">
        <x:f>S27*'Assumptions'!E44</x:f>
        <x:v>2057.94</x:v>
      </x:c>
      <x:c r="T54" s="4" t="n">
        <x:f>T27*'Assumptions'!E44</x:f>
        <x:v>2057.94</x:v>
      </x:c>
      <x:c r="U54" s="4" t="n">
        <x:f>U27*'Assumptions'!E44</x:f>
        <x:v>2057.94</x:v>
      </x:c>
      <x:c r="V54" s="4" t="n">
        <x:f>V27*'Assumptions'!E44</x:f>
        <x:v>2057.94</x:v>
      </x:c>
      <x:c r="W54" s="4" t="n">
        <x:f>W27*'Assumptions'!E44</x:f>
        <x:v>2057.94</x:v>
      </x:c>
      <x:c r="X54" s="4" t="n">
        <x:f>X27*'Assumptions'!E44</x:f>
        <x:v>2057.94</x:v>
      </x:c>
      <x:c r="Y54" s="4" t="n">
        <x:f>Y27*'Assumptions'!E44</x:f>
        <x:v>2057.94</x:v>
      </x:c>
      <x:c r="Z54" s="4" t="n">
        <x:f>Z27*'Assumptions'!E44</x:f>
        <x:v>2057.94</x:v>
      </x:c>
      <x:c r="AA54" s="4" t="n">
        <x:f>AA27*'Assumptions'!E44</x:f>
        <x:v>2057.94</x:v>
      </x:c>
      <x:c r="AB54" s="4" t="n">
        <x:f>AB27*'Assumptions'!F44</x:f>
        <x:v>2119.6782000000003</x:v>
      </x:c>
      <x:c r="AC54" s="4" t="n">
        <x:f>AC27*'Assumptions'!F44</x:f>
        <x:v>2119.6782000000003</x:v>
      </x:c>
      <x:c r="AD54" s="4" t="n">
        <x:f>AD27*'Assumptions'!F44</x:f>
        <x:v>2119.6782000000003</x:v>
      </x:c>
      <x:c r="AE54" s="4" t="n">
        <x:f>AE27*'Assumptions'!F44</x:f>
        <x:v>2119.6782000000003</x:v>
      </x:c>
      <x:c r="AF54" s="4" t="n">
        <x:f>AF27*'Assumptions'!F44</x:f>
        <x:v>2119.6782000000003</x:v>
      </x:c>
      <x:c r="AG54" s="4" t="n">
        <x:f>AG27*'Assumptions'!F44</x:f>
        <x:v>2119.6782000000003</x:v>
      </x:c>
      <x:c r="AH54" s="4" t="n">
        <x:f>AH27*'Assumptions'!F44</x:f>
        <x:v>2119.6782000000003</x:v>
      </x:c>
      <x:c r="AI54" s="4" t="n">
        <x:f>AI27*'Assumptions'!F44</x:f>
        <x:v>2119.6782000000003</x:v>
      </x:c>
      <x:c r="AJ54" s="4" t="n">
        <x:f>AJ27*'Assumptions'!F44</x:f>
        <x:v>2119.6782000000003</x:v>
      </x:c>
      <x:c r="AK54" s="4" t="n">
        <x:f>AK27*'Assumptions'!F44</x:f>
        <x:v>2119.6782000000003</x:v>
      </x:c>
      <x:c r="AL54" s="4" t="n">
        <x:f>AL27*'Assumptions'!F44</x:f>
        <x:v>2119.6782000000003</x:v>
      </x:c>
      <x:c r="AM54" s="4" t="n">
        <x:f>AM27*'Assumptions'!F44</x:f>
        <x:v>2119.6782000000003</x:v>
      </x:c>
      <x:c r="AN54" s="2"/>
    </x:row>
    <x:row r="55" ht="21" customHeight="1">
      <x:c r="A55" s="1"/>
      <x:c r="B55" s="1"/>
      <x:c r="C55" s="1" t="str">
        <x:v>Consumables</x:v>
      </x:c>
      <x:c r="D55" s="4" t="n">
        <x:f>D27*'Assumptions'!D45</x:f>
        <x:v>499.5</x:v>
      </x:c>
      <x:c r="E55" s="4" t="n">
        <x:f>E27*'Assumptions'!D45</x:f>
        <x:v>599.4</x:v>
      </x:c>
      <x:c r="F55" s="4" t="n">
        <x:f>F27*'Assumptions'!D45</x:f>
        <x:v>699.3000000000001</x:v>
      </x:c>
      <x:c r="G55" s="4" t="n">
        <x:f>G27*'Assumptions'!D45</x:f>
        <x:v>749.25</x:v>
      </x:c>
      <x:c r="H55" s="4" t="n">
        <x:f>H27*'Assumptions'!D45</x:f>
        <x:v>799.2</x:v>
      </x:c>
      <x:c r="I55" s="4" t="n">
        <x:f>I27*'Assumptions'!D45</x:f>
        <x:v>849.15</x:v>
      </x:c>
      <x:c r="J55" s="4" t="n">
        <x:f>J27*'Assumptions'!D45</x:f>
        <x:v>899.1</x:v>
      </x:c>
      <x:c r="K55" s="4" t="n">
        <x:f>K27*'Assumptions'!D45</x:f>
        <x:v>949.0500000000001</x:v>
      </x:c>
      <x:c r="L55" s="4" t="n">
        <x:f>L27*'Assumptions'!D45</x:f>
        <x:v>999</x:v>
      </x:c>
      <x:c r="M55" s="4" t="n">
        <x:f>M27*'Assumptions'!D45</x:f>
        <x:v>999</x:v>
      </x:c>
      <x:c r="N55" s="4" t="n">
        <x:f>N27*'Assumptions'!D45</x:f>
        <x:v>999</x:v>
      </x:c>
      <x:c r="O55" s="4" t="n">
        <x:f>O27*'Assumptions'!D45</x:f>
        <x:v>999</x:v>
      </x:c>
      <x:c r="P55" s="4" t="n">
        <x:f>P27*'Assumptions'!E45</x:f>
        <x:v>1028.97</x:v>
      </x:c>
      <x:c r="Q55" s="4" t="n">
        <x:f>Q27*'Assumptions'!E45</x:f>
        <x:v>1028.97</x:v>
      </x:c>
      <x:c r="R55" s="4" t="n">
        <x:f>R27*'Assumptions'!E45</x:f>
        <x:v>1028.97</x:v>
      </x:c>
      <x:c r="S55" s="4" t="n">
        <x:f>S27*'Assumptions'!E45</x:f>
        <x:v>1028.97</x:v>
      </x:c>
      <x:c r="T55" s="4" t="n">
        <x:f>T27*'Assumptions'!E45</x:f>
        <x:v>1028.97</x:v>
      </x:c>
      <x:c r="U55" s="4" t="n">
        <x:f>U27*'Assumptions'!E45</x:f>
        <x:v>1028.97</x:v>
      </x:c>
      <x:c r="V55" s="4" t="n">
        <x:f>V27*'Assumptions'!E45</x:f>
        <x:v>1028.97</x:v>
      </x:c>
      <x:c r="W55" s="4" t="n">
        <x:f>W27*'Assumptions'!E45</x:f>
        <x:v>1028.97</x:v>
      </x:c>
      <x:c r="X55" s="4" t="n">
        <x:f>X27*'Assumptions'!E45</x:f>
        <x:v>1028.97</x:v>
      </x:c>
      <x:c r="Y55" s="4" t="n">
        <x:f>Y27*'Assumptions'!E45</x:f>
        <x:v>1028.97</x:v>
      </x:c>
      <x:c r="Z55" s="4" t="n">
        <x:f>Z27*'Assumptions'!E45</x:f>
        <x:v>1028.97</x:v>
      </x:c>
      <x:c r="AA55" s="4" t="n">
        <x:f>AA27*'Assumptions'!E45</x:f>
        <x:v>1028.97</x:v>
      </x:c>
      <x:c r="AB55" s="4" t="n">
        <x:f>AB27*'Assumptions'!F45</x:f>
        <x:v>1059.8391000000001</x:v>
      </x:c>
      <x:c r="AC55" s="4" t="n">
        <x:f>AC27*'Assumptions'!F45</x:f>
        <x:v>1059.8391000000001</x:v>
      </x:c>
      <x:c r="AD55" s="4" t="n">
        <x:f>AD27*'Assumptions'!F45</x:f>
        <x:v>1059.8391000000001</x:v>
      </x:c>
      <x:c r="AE55" s="4" t="n">
        <x:f>AE27*'Assumptions'!F45</x:f>
        <x:v>1059.8391000000001</x:v>
      </x:c>
      <x:c r="AF55" s="4" t="n">
        <x:f>AF27*'Assumptions'!F45</x:f>
        <x:v>1059.8391000000001</x:v>
      </x:c>
      <x:c r="AG55" s="4" t="n">
        <x:f>AG27*'Assumptions'!F45</x:f>
        <x:v>1059.8391000000001</x:v>
      </x:c>
      <x:c r="AH55" s="4" t="n">
        <x:f>AH27*'Assumptions'!F45</x:f>
        <x:v>1059.8391000000001</x:v>
      </x:c>
      <x:c r="AI55" s="4" t="n">
        <x:f>AI27*'Assumptions'!F45</x:f>
        <x:v>1059.8391000000001</x:v>
      </x:c>
      <x:c r="AJ55" s="4" t="n">
        <x:f>AJ27*'Assumptions'!F45</x:f>
        <x:v>1059.8391000000001</x:v>
      </x:c>
      <x:c r="AK55" s="4" t="n">
        <x:f>AK27*'Assumptions'!F45</x:f>
        <x:v>1059.8391000000001</x:v>
      </x:c>
      <x:c r="AL55" s="4" t="n">
        <x:f>AL27*'Assumptions'!F45</x:f>
        <x:v>1059.8391000000001</x:v>
      </x:c>
      <x:c r="AM55" s="4" t="n">
        <x:f>AM27*'Assumptions'!F45</x:f>
        <x:v>1059.8391000000001</x:v>
      </x:c>
      <x:c r="AN55" s="2"/>
    </x:row>
    <x:row r="56" ht="21" customHeight="1">
      <x:c r="A56" s="1"/>
      <x:c r="B56" s="1"/>
      <x:c r="C56" s="10" t="str">
        <x:v>EBITDA</x:v>
      </x:c>
      <x:c r="D56" s="11" t="n">
        <x:f>D33-D49-SUM(D51:D55)</x:f>
        <x:v>-32084.61332916667</x:v>
      </x:c>
      <x:c r="E56" s="11" t="n">
        <x:f>E33-E49-SUM(E51:E55)</x:f>
        <x:v>-25859.02616166667</x:v>
      </x:c>
      <x:c r="F56" s="11" t="n">
        <x:f>F33-F49-SUM(F51:F55)</x:f>
        <x:v>-19633.43899416667</x:v>
      </x:c>
      <x:c r="G56" s="11" t="n">
        <x:f>G33-G49-SUM(G51:G55)</x:f>
        <x:v>-16520.64541041667</x:v>
      </x:c>
      <x:c r="H56" s="11" t="n">
        <x:f>H33-H49-SUM(H51:H55)</x:f>
        <x:v>-13407.851826666672</x:v>
      </x:c>
      <x:c r="I56" s="11" t="n">
        <x:f>I33-I49-SUM(I51:I55)</x:f>
        <x:v>-10295.058242916675</x:v>
      </x:c>
      <x:c r="J56" s="11" t="n">
        <x:f>J33-J49-SUM(J51:J55)</x:f>
        <x:v>-7182.264659166674</x:v>
      </x:c>
      <x:c r="K56" s="11" t="n">
        <x:f>K33-K49-SUM(K51:K55)</x:f>
        <x:v>-4069.4710754166663</x:v>
      </x:c>
      <x:c r="L56" s="11" t="n">
        <x:f>L33-L49-SUM(L51:L55)</x:f>
        <x:v>-956.6774916666727</x:v>
      </x:c>
      <x:c r="M56" s="11" t="n">
        <x:f>M33-M49-SUM(M51:M55)</x:f>
        <x:v>-956.6774916666727</x:v>
      </x:c>
      <x:c r="N56" s="11" t="n">
        <x:f>N33-N49-SUM(N51:N55)</x:f>
        <x:v>-956.6774916666727</x:v>
      </x:c>
      <x:c r="O56" s="11" t="n">
        <x:f>O33-O49-SUM(O51:O55)</x:f>
        <x:v>-956.6774916666727</x:v>
      </x:c>
      <x:c r="P56" s="11" t="n">
        <x:f>P33-P49-SUM(P51:P55)</x:f>
        <x:v>-1121.207816416656</x:v>
      </x:c>
      <x:c r="Q56" s="11" t="n">
        <x:f>Q33-Q49-SUM(Q51:Q55)</x:f>
        <x:v>-1121.207816416656</x:v>
      </x:c>
      <x:c r="R56" s="11" t="n">
        <x:f>R33-R49-SUM(R51:R55)</x:f>
        <x:v>-1121.207816416656</x:v>
      </x:c>
      <x:c r="S56" s="11" t="n">
        <x:f>S33-S49-SUM(S51:S55)</x:f>
        <x:v>-1121.207816416656</x:v>
      </x:c>
      <x:c r="T56" s="11" t="n">
        <x:f>T33-T49-SUM(T51:T55)</x:f>
        <x:v>-1121.207816416656</x:v>
      </x:c>
      <x:c r="U56" s="11" t="n">
        <x:f>U33-U49-SUM(U51:U55)</x:f>
        <x:v>-1121.207816416656</x:v>
      </x:c>
      <x:c r="V56" s="11" t="n">
        <x:f>V33-V49-SUM(V51:V55)</x:f>
        <x:v>-1121.207816416656</x:v>
      </x:c>
      <x:c r="W56" s="11" t="n">
        <x:f>W33-W49-SUM(W51:W55)</x:f>
        <x:v>-1121.207816416656</x:v>
      </x:c>
      <x:c r="X56" s="11" t="n">
        <x:f>X33-X49-SUM(X51:X55)</x:f>
        <x:v>-1121.207816416656</x:v>
      </x:c>
      <x:c r="Y56" s="11" t="n">
        <x:f>Y33-Y49-SUM(Y51:Y55)</x:f>
        <x:v>-1121.207816416656</x:v>
      </x:c>
      <x:c r="Z56" s="11" t="n">
        <x:f>Z33-Z49-SUM(Z51:Z55)</x:f>
        <x:v>-1121.207816416656</x:v>
      </x:c>
      <x:c r="AA56" s="11" t="n">
        <x:f>AA33-AA49-SUM(AA51:AA55)</x:f>
        <x:v>-1121.207816416656</x:v>
      </x:c>
      <x:c r="AB56" s="11" t="n">
        <x:f>AB33-AB49-SUM(AB51:AB55)</x:f>
        <x:v>-1300.1360509091573</x:v>
      </x:c>
      <x:c r="AC56" s="11" t="n">
        <x:f>AC33-AC49-SUM(AC51:AC55)</x:f>
        <x:v>-1300.1360509091573</x:v>
      </x:c>
      <x:c r="AD56" s="11" t="n">
        <x:f>AD33-AD49-SUM(AD51:AD55)</x:f>
        <x:v>-1300.1360509091573</x:v>
      </x:c>
      <x:c r="AE56" s="11" t="n">
        <x:f>AE33-AE49-SUM(AE51:AE55)</x:f>
        <x:v>-1300.1360509091573</x:v>
      </x:c>
      <x:c r="AF56" s="11" t="n">
        <x:f>AF33-AF49-SUM(AF51:AF55)</x:f>
        <x:v>-1300.1360509091573</x:v>
      </x:c>
      <x:c r="AG56" s="11" t="n">
        <x:f>AG33-AG49-SUM(AG51:AG55)</x:f>
        <x:v>-1300.1360509091573</x:v>
      </x:c>
      <x:c r="AH56" s="11" t="n">
        <x:f>AH33-AH49-SUM(AH51:AH55)</x:f>
        <x:v>-1300.1360509091573</x:v>
      </x:c>
      <x:c r="AI56" s="11" t="n">
        <x:f>AI33-AI49-SUM(AI51:AI55)</x:f>
        <x:v>-1300.1360509091573</x:v>
      </x:c>
      <x:c r="AJ56" s="11" t="n">
        <x:f>AJ33-AJ49-SUM(AJ51:AJ55)</x:f>
        <x:v>-1300.1360509091573</x:v>
      </x:c>
      <x:c r="AK56" s="11" t="n">
        <x:f>AK33-AK49-SUM(AK51:AK55)</x:f>
        <x:v>-1300.1360509091573</x:v>
      </x:c>
      <x:c r="AL56" s="11" t="n">
        <x:f>AL33-AL49-SUM(AL51:AL55)</x:f>
        <x:v>-1300.1360509091573</x:v>
      </x:c>
      <x:c r="AM56" s="11" t="n">
        <x:f>AM33-AM49-SUM(AM51:AM55)</x:f>
        <x:v>-1300.1360509091573</x:v>
      </x:c>
      <x:c r="AN56" s="2"/>
    </x:row>
    <x:row r="57" ht="21" customHeight="1">
      <x:c r="A57" s="1"/>
      <x:c r="B57" s="1"/>
      <x:c r="C57" s="1" t="str">
        <x:v>EBITDA margin</x:v>
      </x:c>
      <x:c r="D57" s="25" t="n">
        <x:f>D56/D27</x:f>
        <x:v>-0.6423346011845179</x:v>
      </x:c>
      <x:c r="E57" s="25" t="n">
        <x:f>E56/E27</x:f>
        <x:v>-0.4314151845456568</x:v>
      </x:c>
      <x:c r="F57" s="25" t="n">
        <x:f>F56/F27</x:f>
        <x:v>-0.28075845837504176</x:v>
      </x:c>
      <x:c r="G57" s="25" t="n">
        <x:f>G56/G27</x:f>
        <x:v>-0.22049576790679573</x:v>
      </x:c>
      <x:c r="H57" s="25" t="n">
        <x:f>H56/H27</x:f>
        <x:v>-0.1677659137470805</x:v>
      </x:c>
      <x:c r="I57" s="25" t="n">
        <x:f>I56/I27</x:f>
        <x:v>-0.12123957184144939</x:v>
      </x:c>
      <x:c r="J57" s="25" t="n">
        <x:f>J56/J27</x:f>
        <x:v>-0.07988282348088838</x:v>
      </x:c>
      <x:c r="K57" s="25" t="n">
        <x:f>K56/K27</x:f>
        <x:v>-0.042879417053017926</x:v>
      </x:c>
      <x:c r="L57" s="25" t="n">
        <x:f>L56/L27</x:f>
        <x:v>-0.009576351267934663</x:v>
      </x:c>
      <x:c r="M57" s="25" t="n">
        <x:f>M56/M27</x:f>
        <x:v>-0.009576351267934663</x:v>
      </x:c>
      <x:c r="N57" s="25" t="n">
        <x:f>N56/N27</x:f>
        <x:v>-0.009576351267934663</x:v>
      </x:c>
      <x:c r="O57" s="25" t="n">
        <x:f>O56/O27</x:f>
        <x:v>-0.009576351267934663</x:v>
      </x:c>
      <x:c r="P57" s="25" t="n">
        <x:f>P56/P27</x:f>
        <x:v>-0.010896409189934167</x:v>
      </x:c>
      <x:c r="Q57" s="25" t="n">
        <x:f>Q56/Q27</x:f>
        <x:v>-0.010896409189934167</x:v>
      </x:c>
      <x:c r="R57" s="25" t="n">
        <x:f>R56/R27</x:f>
        <x:v>-0.010896409189934167</x:v>
      </x:c>
      <x:c r="S57" s="25" t="n">
        <x:f>S56/S27</x:f>
        <x:v>-0.010896409189934167</x:v>
      </x:c>
      <x:c r="T57" s="25" t="n">
        <x:f>T56/T27</x:f>
        <x:v>-0.010896409189934167</x:v>
      </x:c>
      <x:c r="U57" s="25" t="n">
        <x:f>U56/U27</x:f>
        <x:v>-0.010896409189934167</x:v>
      </x:c>
      <x:c r="V57" s="25" t="n">
        <x:f>V56/V27</x:f>
        <x:v>-0.010896409189934167</x:v>
      </x:c>
      <x:c r="W57" s="25" t="n">
        <x:f>W56/W27</x:f>
        <x:v>-0.010896409189934167</x:v>
      </x:c>
      <x:c r="X57" s="25" t="n">
        <x:f>X56/X27</x:f>
        <x:v>-0.010896409189934167</x:v>
      </x:c>
      <x:c r="Y57" s="25" t="n">
        <x:f>Y56/Y27</x:f>
        <x:v>-0.010896409189934167</x:v>
      </x:c>
      <x:c r="Z57" s="25" t="n">
        <x:f>Z56/Z27</x:f>
        <x:v>-0.010896409189934167</x:v>
      </x:c>
      <x:c r="AA57" s="25" t="n">
        <x:f>AA56/AA27</x:f>
        <x:v>-0.010896409189934167</x:v>
      </x:c>
      <x:c r="AB57" s="25" t="n">
        <x:f>AB56/AB27</x:f>
        <x:v>-0.012267296525568431</x:v>
      </x:c>
      <x:c r="AC57" s="25" t="n">
        <x:f>AC56/AC27</x:f>
        <x:v>-0.012267296525568431</x:v>
      </x:c>
      <x:c r="AD57" s="25" t="n">
        <x:f>AD56/AD27</x:f>
        <x:v>-0.012267296525568431</x:v>
      </x:c>
      <x:c r="AE57" s="25" t="n">
        <x:f>AE56/AE27</x:f>
        <x:v>-0.012267296525568431</x:v>
      </x:c>
      <x:c r="AF57" s="25" t="n">
        <x:f>AF56/AF27</x:f>
        <x:v>-0.012267296525568431</x:v>
      </x:c>
      <x:c r="AG57" s="25" t="n">
        <x:f>AG56/AG27</x:f>
        <x:v>-0.012267296525568431</x:v>
      </x:c>
      <x:c r="AH57" s="25" t="n">
        <x:f>AH56/AH27</x:f>
        <x:v>-0.012267296525568431</x:v>
      </x:c>
      <x:c r="AI57" s="25" t="n">
        <x:f>AI56/AI27</x:f>
        <x:v>-0.012267296525568431</x:v>
      </x:c>
      <x:c r="AJ57" s="25" t="n">
        <x:f>AJ56/AJ27</x:f>
        <x:v>-0.012267296525568431</x:v>
      </x:c>
      <x:c r="AK57" s="25" t="n">
        <x:f>AK56/AK27</x:f>
        <x:v>-0.012267296525568431</x:v>
      </x:c>
      <x:c r="AL57" s="25" t="n">
        <x:f>AL56/AL27</x:f>
        <x:v>-0.012267296525568431</x:v>
      </x:c>
      <x:c r="AM57" s="25" t="n">
        <x:f>AM56/AM27</x:f>
        <x:v>-0.012267296525568431</x:v>
      </x:c>
      <x:c r="AN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1" customHeight="1">
      <x:c r="A59" s="1"/>
      <x:c r="B59" s="1"/>
      <x:c r="C59" s="1" t="str">
        <x:v>Maintenance capex</x:v>
      </x:c>
      <x:c r="D59" s="4" t="n">
        <x:f>D27*'Assumptions'!D46</x:f>
        <x:v>499.5</x:v>
      </x:c>
      <x:c r="E59" s="4" t="n">
        <x:f>E27*'Assumptions'!D46</x:f>
        <x:v>599.4</x:v>
      </x:c>
      <x:c r="F59" s="4" t="n">
        <x:f>F27*'Assumptions'!D46</x:f>
        <x:v>699.3000000000001</x:v>
      </x:c>
      <x:c r="G59" s="4" t="n">
        <x:f>G27*'Assumptions'!D46</x:f>
        <x:v>749.25</x:v>
      </x:c>
      <x:c r="H59" s="4" t="n">
        <x:f>H27*'Assumptions'!D46</x:f>
        <x:v>799.2</x:v>
      </x:c>
      <x:c r="I59" s="4" t="n">
        <x:f>I27*'Assumptions'!D46</x:f>
        <x:v>849.15</x:v>
      </x:c>
      <x:c r="J59" s="4" t="n">
        <x:f>J27*'Assumptions'!D46</x:f>
        <x:v>899.1</x:v>
      </x:c>
      <x:c r="K59" s="4" t="n">
        <x:f>K27*'Assumptions'!D46</x:f>
        <x:v>949.0500000000001</x:v>
      </x:c>
      <x:c r="L59" s="4" t="n">
        <x:f>L27*'Assumptions'!D46</x:f>
        <x:v>999</x:v>
      </x:c>
      <x:c r="M59" s="4" t="n">
        <x:f>M27*'Assumptions'!D46</x:f>
        <x:v>999</x:v>
      </x:c>
      <x:c r="N59" s="4" t="n">
        <x:f>N27*'Assumptions'!D46</x:f>
        <x:v>999</x:v>
      </x:c>
      <x:c r="O59" s="4" t="n">
        <x:f>O27*'Assumptions'!D46</x:f>
        <x:v>999</x:v>
      </x:c>
      <x:c r="P59" s="4" t="n">
        <x:f>P27*'Assumptions'!E46</x:f>
        <x:v>1028.97</x:v>
      </x:c>
      <x:c r="Q59" s="4" t="n">
        <x:f>Q27*'Assumptions'!E46</x:f>
        <x:v>1028.97</x:v>
      </x:c>
      <x:c r="R59" s="4" t="n">
        <x:f>R27*'Assumptions'!E46</x:f>
        <x:v>1028.97</x:v>
      </x:c>
      <x:c r="S59" s="4" t="n">
        <x:f>S27*'Assumptions'!E46</x:f>
        <x:v>1028.97</x:v>
      </x:c>
      <x:c r="T59" s="4" t="n">
        <x:f>T27*'Assumptions'!E46</x:f>
        <x:v>1028.97</x:v>
      </x:c>
      <x:c r="U59" s="4" t="n">
        <x:f>U27*'Assumptions'!E46</x:f>
        <x:v>1028.97</x:v>
      </x:c>
      <x:c r="V59" s="4" t="n">
        <x:f>V27*'Assumptions'!E46</x:f>
        <x:v>1028.97</x:v>
      </x:c>
      <x:c r="W59" s="4" t="n">
        <x:f>W27*'Assumptions'!E46</x:f>
        <x:v>1028.97</x:v>
      </x:c>
      <x:c r="X59" s="4" t="n">
        <x:f>X27*'Assumptions'!E46</x:f>
        <x:v>1028.97</x:v>
      </x:c>
      <x:c r="Y59" s="4" t="n">
        <x:f>Y27*'Assumptions'!E46</x:f>
        <x:v>1028.97</x:v>
      </x:c>
      <x:c r="Z59" s="4" t="n">
        <x:f>Z27*'Assumptions'!E46</x:f>
        <x:v>1028.97</x:v>
      </x:c>
      <x:c r="AA59" s="4" t="n">
        <x:f>AA27*'Assumptions'!E46</x:f>
        <x:v>1028.97</x:v>
      </x:c>
      <x:c r="AB59" s="4" t="n">
        <x:f>AB27*'Assumptions'!F46</x:f>
        <x:v>1059.8391000000001</x:v>
      </x:c>
      <x:c r="AC59" s="4" t="n">
        <x:f>AC27*'Assumptions'!F46</x:f>
        <x:v>1059.8391000000001</x:v>
      </x:c>
      <x:c r="AD59" s="4" t="n">
        <x:f>AD27*'Assumptions'!F46</x:f>
        <x:v>1059.8391000000001</x:v>
      </x:c>
      <x:c r="AE59" s="4" t="n">
        <x:f>AE27*'Assumptions'!F46</x:f>
        <x:v>1059.8391000000001</x:v>
      </x:c>
      <x:c r="AF59" s="4" t="n">
        <x:f>AF27*'Assumptions'!F46</x:f>
        <x:v>1059.8391000000001</x:v>
      </x:c>
      <x:c r="AG59" s="4" t="n">
        <x:f>AG27*'Assumptions'!F46</x:f>
        <x:v>1059.8391000000001</x:v>
      </x:c>
      <x:c r="AH59" s="4" t="n">
        <x:f>AH27*'Assumptions'!F46</x:f>
        <x:v>1059.8391000000001</x:v>
      </x:c>
      <x:c r="AI59" s="4" t="n">
        <x:f>AI27*'Assumptions'!F46</x:f>
        <x:v>1059.8391000000001</x:v>
      </x:c>
      <x:c r="AJ59" s="4" t="n">
        <x:f>AJ27*'Assumptions'!F46</x:f>
        <x:v>1059.8391000000001</x:v>
      </x:c>
      <x:c r="AK59" s="4" t="n">
        <x:f>AK27*'Assumptions'!F46</x:f>
        <x:v>1059.8391000000001</x:v>
      </x:c>
      <x:c r="AL59" s="4" t="n">
        <x:f>AL27*'Assumptions'!F46</x:f>
        <x:v>1059.8391000000001</x:v>
      </x:c>
      <x:c r="AM59" s="4" t="n">
        <x:f>AM27*'Assumptions'!F46</x:f>
        <x:v>1059.8391000000001</x:v>
      </x:c>
      <x:c r="AN59" s="2"/>
    </x:row>
    <x:row r="60" ht="21" customHeight="1">
      <x:c r="A60" s="1"/>
      <x:c r="B60" s="1"/>
      <x:c r="C60" s="1" t="str">
        <x:v>Initial asset depreciation</x:v>
      </x:c>
      <x:c r="D60" s="4" t="n">
        <x:f>'Opening'!$E$18*('Assumptions'!D52/'Assumptions'!D53+(1-'Assumptions'!D52)/'Assumptions'!D54)</x:f>
        <x:v>5200</x:v>
      </x:c>
      <x:c r="E60" s="4" t="n">
        <x:f>'Opening'!$E$18*('Assumptions'!D52/'Assumptions'!D53+(1-'Assumptions'!D52)/'Assumptions'!D54)</x:f>
        <x:v>5200</x:v>
      </x:c>
      <x:c r="F60" s="4" t="n">
        <x:f>'Opening'!$E$18*('Assumptions'!D52/'Assumptions'!D53+(1-'Assumptions'!D52)/'Assumptions'!D54)</x:f>
        <x:v>5200</x:v>
      </x:c>
      <x:c r="G60" s="4" t="n">
        <x:f>'Opening'!$E$18*('Assumptions'!D52/'Assumptions'!D53+(1-'Assumptions'!D52)/'Assumptions'!D54)</x:f>
        <x:v>5200</x:v>
      </x:c>
      <x:c r="H60" s="4" t="n">
        <x:f>'Opening'!$E$18*('Assumptions'!D52/'Assumptions'!D53+(1-'Assumptions'!D52)/'Assumptions'!D54)</x:f>
        <x:v>5200</x:v>
      </x:c>
      <x:c r="I60" s="4" t="n">
        <x:f>'Opening'!$E$18*('Assumptions'!D52/'Assumptions'!D53+(1-'Assumptions'!D52)/'Assumptions'!D54)</x:f>
        <x:v>5200</x:v>
      </x:c>
      <x:c r="J60" s="4" t="n">
        <x:f>'Opening'!$E$18*('Assumptions'!D52/'Assumptions'!D53+(1-'Assumptions'!D52)/'Assumptions'!D54)</x:f>
        <x:v>5200</x:v>
      </x:c>
      <x:c r="K60" s="4" t="n">
        <x:f>'Opening'!$E$18*('Assumptions'!D52/'Assumptions'!D53+(1-'Assumptions'!D52)/'Assumptions'!D54)</x:f>
        <x:v>5200</x:v>
      </x:c>
      <x:c r="L60" s="4" t="n">
        <x:f>'Opening'!$E$18*('Assumptions'!D52/'Assumptions'!D53+(1-'Assumptions'!D52)/'Assumptions'!D54)</x:f>
        <x:v>5200</x:v>
      </x:c>
      <x:c r="M60" s="4" t="n">
        <x:f>'Opening'!$E$18*('Assumptions'!D52/'Assumptions'!D53+(1-'Assumptions'!D52)/'Assumptions'!D54)</x:f>
        <x:v>5200</x:v>
      </x:c>
      <x:c r="N60" s="4" t="n">
        <x:f>'Opening'!$E$18*('Assumptions'!D52/'Assumptions'!D53+(1-'Assumptions'!D52)/'Assumptions'!D54)</x:f>
        <x:v>5200</x:v>
      </x:c>
      <x:c r="O60" s="4" t="n">
        <x:f>'Opening'!$E$18*('Assumptions'!D52/'Assumptions'!D53+(1-'Assumptions'!D52)/'Assumptions'!D54)</x:f>
        <x:v>5200</x:v>
      </x:c>
      <x:c r="P60" s="4" t="n">
        <x:f>'Opening'!$E$18*('Assumptions'!E52/'Assumptions'!E53+(1-'Assumptions'!E52)/'Assumptions'!E54)</x:f>
        <x:v>5200</x:v>
      </x:c>
      <x:c r="Q60" s="4" t="n">
        <x:f>'Opening'!$E$18*('Assumptions'!E52/'Assumptions'!E53+(1-'Assumptions'!E52)/'Assumptions'!E54)</x:f>
        <x:v>5200</x:v>
      </x:c>
      <x:c r="R60" s="4" t="n">
        <x:f>'Opening'!$E$18*('Assumptions'!E52/'Assumptions'!E53+(1-'Assumptions'!E52)/'Assumptions'!E54)</x:f>
        <x:v>5200</x:v>
      </x:c>
      <x:c r="S60" s="4" t="n">
        <x:f>'Opening'!$E$18*('Assumptions'!E52/'Assumptions'!E53+(1-'Assumptions'!E52)/'Assumptions'!E54)</x:f>
        <x:v>5200</x:v>
      </x:c>
      <x:c r="T60" s="4" t="n">
        <x:f>'Opening'!$E$18*('Assumptions'!E52/'Assumptions'!E53+(1-'Assumptions'!E52)/'Assumptions'!E54)</x:f>
        <x:v>5200</x:v>
      </x:c>
      <x:c r="U60" s="4" t="n">
        <x:f>'Opening'!$E$18*('Assumptions'!E52/'Assumptions'!E53+(1-'Assumptions'!E52)/'Assumptions'!E54)</x:f>
        <x:v>5200</x:v>
      </x:c>
      <x:c r="V60" s="4" t="n">
        <x:f>'Opening'!$E$18*('Assumptions'!E52/'Assumptions'!E53+(1-'Assumptions'!E52)/'Assumptions'!E54)</x:f>
        <x:v>5200</x:v>
      </x:c>
      <x:c r="W60" s="4" t="n">
        <x:f>'Opening'!$E$18*('Assumptions'!E52/'Assumptions'!E53+(1-'Assumptions'!E52)/'Assumptions'!E54)</x:f>
        <x:v>5200</x:v>
      </x:c>
      <x:c r="X60" s="4" t="n">
        <x:f>'Opening'!$E$18*('Assumptions'!E52/'Assumptions'!E53+(1-'Assumptions'!E52)/'Assumptions'!E54)</x:f>
        <x:v>5200</x:v>
      </x:c>
      <x:c r="Y60" s="4" t="n">
        <x:f>'Opening'!$E$18*('Assumptions'!E52/'Assumptions'!E53+(1-'Assumptions'!E52)/'Assumptions'!E54)</x:f>
        <x:v>5200</x:v>
      </x:c>
      <x:c r="Z60" s="4" t="n">
        <x:f>'Opening'!$E$18*('Assumptions'!E52/'Assumptions'!E53+(1-'Assumptions'!E52)/'Assumptions'!E54)</x:f>
        <x:v>5200</x:v>
      </x:c>
      <x:c r="AA60" s="4" t="n">
        <x:f>'Opening'!$E$18*('Assumptions'!E52/'Assumptions'!E53+(1-'Assumptions'!E52)/'Assumptions'!E54)</x:f>
        <x:v>5200</x:v>
      </x:c>
      <x:c r="AB60" s="4" t="n">
        <x:f>'Opening'!$E$18*('Assumptions'!F52/'Assumptions'!F53+(1-'Assumptions'!F52)/'Assumptions'!F54)</x:f>
        <x:v>5200</x:v>
      </x:c>
      <x:c r="AC60" s="4" t="n">
        <x:f>'Opening'!$E$18*('Assumptions'!F52/'Assumptions'!F53+(1-'Assumptions'!F52)/'Assumptions'!F54)</x:f>
        <x:v>5200</x:v>
      </x:c>
      <x:c r="AD60" s="4" t="n">
        <x:f>'Opening'!$E$18*('Assumptions'!F52/'Assumptions'!F53+(1-'Assumptions'!F52)/'Assumptions'!F54)</x:f>
        <x:v>5200</x:v>
      </x:c>
      <x:c r="AE60" s="4" t="n">
        <x:f>'Opening'!$E$18*('Assumptions'!F52/'Assumptions'!F53+(1-'Assumptions'!F52)/'Assumptions'!F54)</x:f>
        <x:v>5200</x:v>
      </x:c>
      <x:c r="AF60" s="4" t="n">
        <x:f>'Opening'!$E$18*('Assumptions'!F52/'Assumptions'!F53+(1-'Assumptions'!F52)/'Assumptions'!F54)</x:f>
        <x:v>5200</x:v>
      </x:c>
      <x:c r="AG60" s="4" t="n">
        <x:f>'Opening'!$E$18*('Assumptions'!F52/'Assumptions'!F53+(1-'Assumptions'!F52)/'Assumptions'!F54)</x:f>
        <x:v>5200</x:v>
      </x:c>
      <x:c r="AH60" s="4" t="n">
        <x:f>'Opening'!$E$18*('Assumptions'!F52/'Assumptions'!F53+(1-'Assumptions'!F52)/'Assumptions'!F54)</x:f>
        <x:v>5200</x:v>
      </x:c>
      <x:c r="AI60" s="4" t="n">
        <x:f>'Opening'!$E$18*('Assumptions'!F52/'Assumptions'!F53+(1-'Assumptions'!F52)/'Assumptions'!F54)</x:f>
        <x:v>5200</x:v>
      </x:c>
      <x:c r="AJ60" s="4" t="n">
        <x:f>'Opening'!$E$18*('Assumptions'!F52/'Assumptions'!F53+(1-'Assumptions'!F52)/'Assumptions'!F54)</x:f>
        <x:v>5200</x:v>
      </x:c>
      <x:c r="AK60" s="4" t="n">
        <x:f>'Opening'!$E$18*('Assumptions'!F52/'Assumptions'!F53+(1-'Assumptions'!F52)/'Assumptions'!F54)</x:f>
        <x:v>5200</x:v>
      </x:c>
      <x:c r="AL60" s="4" t="n">
        <x:f>'Opening'!$E$18*('Assumptions'!F52/'Assumptions'!F53+(1-'Assumptions'!F52)/'Assumptions'!F54)</x:f>
        <x:v>5200</x:v>
      </x:c>
      <x:c r="AM60" s="4" t="n">
        <x:f>'Opening'!$E$18*('Assumptions'!F52/'Assumptions'!F53+(1-'Assumptions'!F52)/'Assumptions'!F54)</x:f>
        <x:v>5200</x:v>
      </x:c>
      <x:c r="AN60" s="2"/>
    </x:row>
    <x:row r="61" ht="21" customHeight="1">
      <x:c r="A61" s="1"/>
      <x:c r="B61" s="1"/>
      <x:c r="C61" s="1" t="str">
        <x:v>Maintenance depreciation</x:v>
      </x:c>
      <x:c r="D61" s="4" t="n">
        <x:f>D59/'Assumptions'!D55/2</x:f>
        <x:v>4.1625</x:v>
      </x:c>
      <x:c r="E61" s="4" t="n">
        <x:f>(SUM($D59:D59)+E59/2)/'Assumptions'!D55</x:f>
        <x:v>13.32</x:v>
      </x:c>
      <x:c r="F61" s="4" t="n">
        <x:f>(SUM($D59:E59)+F59/2)/'Assumptions'!D55</x:f>
        <x:v>24.142500000000002</x:v>
      </x:c>
      <x:c r="G61" s="4" t="n">
        <x:f>(SUM($D59:F59)+G59/2)/'Assumptions'!D55</x:f>
        <x:v>36.213750000000005</x:v>
      </x:c>
      <x:c r="H61" s="4" t="n">
        <x:f>(SUM($D59:G59)+H59/2)/'Assumptions'!D55</x:f>
        <x:v>49.1175</x:v>
      </x:c>
      <x:c r="I61" s="4" t="n">
        <x:f>(SUM($D59:H59)+I59/2)/'Assumptions'!D55</x:f>
        <x:v>62.853750000000005</x:v>
      </x:c>
      <x:c r="J61" s="4" t="n">
        <x:f>(SUM($D59:I59)+J59/2)/'Assumptions'!D55</x:f>
        <x:v>77.4225</x:v>
      </x:c>
      <x:c r="K61" s="4" t="n">
        <x:f>(SUM($D59:J59)+K59/2)/'Assumptions'!D55</x:f>
        <x:v>92.82375</x:v>
      </x:c>
      <x:c r="L61" s="4" t="n">
        <x:f>(SUM($D59:K59)+L59/2)/'Assumptions'!D55</x:f>
        <x:v>109.05750000000002</x:v>
      </x:c>
      <x:c r="M61" s="4" t="n">
        <x:f>(SUM($D59:L59)+M59/2)/'Assumptions'!D55</x:f>
        <x:v>125.70750000000001</x:v>
      </x:c>
      <x:c r="N61" s="4" t="n">
        <x:f>(SUM($D59:M59)+N59/2)/'Assumptions'!D55</x:f>
        <x:v>142.35750000000002</x:v>
      </x:c>
      <x:c r="O61" s="4" t="n">
        <x:f>(SUM($D59:N59)+O59/2)/'Assumptions'!D55</x:f>
        <x:v>159.00750000000002</x:v>
      </x:c>
      <x:c r="P61" s="4" t="n">
        <x:f>(SUM($D59:O59)+P59/2)/'Assumptions'!E55</x:f>
        <x:v>175.90725000000003</x:v>
      </x:c>
      <x:c r="Q61" s="4" t="n">
        <x:f>(SUM($D59:P59)+Q59/2)/'Assumptions'!E55</x:f>
        <x:v>193.05675000000002</x:v>
      </x:c>
      <x:c r="R61" s="4" t="n">
        <x:f>(SUM($D59:Q59)+R59/2)/'Assumptions'!E55</x:f>
        <x:v>210.20625</x:v>
      </x:c>
      <x:c r="S61" s="4" t="n">
        <x:f>(SUM($D59:R59)+S59/2)/'Assumptions'!E55</x:f>
        <x:v>227.35575</x:v>
      </x:c>
      <x:c r="T61" s="4" t="n">
        <x:f>(SUM($D59:S59)+T59/2)/'Assumptions'!E55</x:f>
        <x:v>244.50525</x:v>
      </x:c>
      <x:c r="U61" s="4" t="n">
        <x:f>(SUM($D59:T59)+U59/2)/'Assumptions'!E55</x:f>
        <x:v>261.65475</x:v>
      </x:c>
      <x:c r="V61" s="4" t="n">
        <x:f>(SUM($D59:U59)+V59/2)/'Assumptions'!E55</x:f>
        <x:v>278.80424999999997</x:v>
      </x:c>
      <x:c r="W61" s="4" t="n">
        <x:f>(SUM($D59:V59)+W59/2)/'Assumptions'!E55</x:f>
        <x:v>295.95374999999996</x:v>
      </x:c>
      <x:c r="X61" s="4" t="n">
        <x:f>(SUM($D59:W59)+X59/2)/'Assumptions'!E55</x:f>
        <x:v>313.10325</x:v>
      </x:c>
      <x:c r="Y61" s="4" t="n">
        <x:f>(SUM($D59:X59)+Y59/2)/'Assumptions'!E55</x:f>
        <x:v>330.25275</x:v>
      </x:c>
      <x:c r="Z61" s="4" t="n">
        <x:f>(SUM($D59:Y59)+Z59/2)/'Assumptions'!E55</x:f>
        <x:v>347.40225000000004</x:v>
      </x:c>
      <x:c r="AA61" s="4" t="n">
        <x:f>(SUM($D59:Z59)+AA59/2)/'Assumptions'!E55</x:f>
        <x:v>364.55175</x:v>
      </x:c>
      <x:c r="AB61" s="4" t="n">
        <x:f>(SUM($D59:AA59)+AB59/2)/'Assumptions'!F55</x:f>
        <x:v>381.95849250000003</x:v>
      </x:c>
      <x:c r="AC61" s="4" t="n">
        <x:f>(SUM($D59:AB59)+AC59/2)/'Assumptions'!F55</x:f>
        <x:v>399.62247750000006</x:v>
      </x:c>
      <x:c r="AD61" s="4" t="n">
        <x:f>(SUM($D59:AC59)+AD59/2)/'Assumptions'!F55</x:f>
        <x:v>417.2864625000001</x:v>
      </x:c>
      <x:c r="AE61" s="4" t="n">
        <x:f>(SUM($D59:AD59)+AE59/2)/'Assumptions'!F55</x:f>
        <x:v>434.9504475000001</x:v>
      </x:c>
      <x:c r="AF61" s="4" t="n">
        <x:f>(SUM($D59:AE59)+AF59/2)/'Assumptions'!F55</x:f>
        <x:v>452.61443250000013</x:v>
      </x:c>
      <x:c r="AG61" s="4" t="n">
        <x:f>(SUM($D59:AF59)+AG59/2)/'Assumptions'!F55</x:f>
        <x:v>470.2784175000001</x:v>
      </x:c>
      <x:c r="AH61" s="4" t="n">
        <x:f>(SUM($D59:AG59)+AH59/2)/'Assumptions'!F55</x:f>
        <x:v>487.9424025000001</x:v>
      </x:c>
      <x:c r="AI61" s="4" t="n">
        <x:f>(SUM($D59:AH59)+AI59/2)/'Assumptions'!F55</x:f>
        <x:v>505.60638750000015</x:v>
      </x:c>
      <x:c r="AJ61" s="4" t="n">
        <x:f>(SUM($D59:AI59)+AJ59/2)/'Assumptions'!F55</x:f>
        <x:v>523.2703725000002</x:v>
      </x:c>
      <x:c r="AK61" s="4" t="n">
        <x:f>(SUM($D59:AJ59)+AK59/2)/'Assumptions'!F55</x:f>
        <x:v>540.9343575000001</x:v>
      </x:c>
      <x:c r="AL61" s="4" t="n">
        <x:f>(SUM($D59:AK59)+AL59/2)/'Assumptions'!F55</x:f>
        <x:v>558.5983425000002</x:v>
      </x:c>
      <x:c r="AM61" s="4" t="n">
        <x:f>(SUM($D59:AL59)+AM59/2)/'Assumptions'!F55</x:f>
        <x:v>576.2623275000002</x:v>
      </x:c>
      <x:c r="AN61" s="2"/>
    </x:row>
    <x:row r="62" ht="21" customHeight="1">
      <x:c r="A62" s="1"/>
      <x:c r="B62" s="1"/>
      <x:c r="C62" s="1" t="str">
        <x:v>Total depreciation</x:v>
      </x:c>
      <x:c r="D62" s="9" t="n">
        <x:f>SUM(D60:D61)</x:f>
        <x:v>5204.1625</x:v>
      </x:c>
      <x:c r="E62" s="9" t="n">
        <x:f>SUM(E60:E61)</x:f>
        <x:v>5213.32</x:v>
      </x:c>
      <x:c r="F62" s="9" t="n">
        <x:f>SUM(F60:F61)</x:f>
        <x:v>5224.1425</x:v>
      </x:c>
      <x:c r="G62" s="9" t="n">
        <x:f>SUM(G60:G61)</x:f>
        <x:v>5236.21375</x:v>
      </x:c>
      <x:c r="H62" s="9" t="n">
        <x:f>SUM(H60:H61)</x:f>
        <x:v>5249.1175</x:v>
      </x:c>
      <x:c r="I62" s="9" t="n">
        <x:f>SUM(I60:I61)</x:f>
        <x:v>5262.85375</x:v>
      </x:c>
      <x:c r="J62" s="9" t="n">
        <x:f>SUM(J60:J61)</x:f>
        <x:v>5277.4225</x:v>
      </x:c>
      <x:c r="K62" s="9" t="n">
        <x:f>SUM(K60:K61)</x:f>
        <x:v>5292.82375</x:v>
      </x:c>
      <x:c r="L62" s="9" t="n">
        <x:f>SUM(L60:L61)</x:f>
        <x:v>5309.0575</x:v>
      </x:c>
      <x:c r="M62" s="9" t="n">
        <x:f>SUM(M60:M61)</x:f>
        <x:v>5325.7075</x:v>
      </x:c>
      <x:c r="N62" s="9" t="n">
        <x:f>SUM(N60:N61)</x:f>
        <x:v>5342.3575</x:v>
      </x:c>
      <x:c r="O62" s="9" t="n">
        <x:f>SUM(O60:O61)</x:f>
        <x:v>5359.0075</x:v>
      </x:c>
      <x:c r="P62" s="9" t="n">
        <x:f>SUM(P60:P61)</x:f>
        <x:v>5375.90725</x:v>
      </x:c>
      <x:c r="Q62" s="9" t="n">
        <x:f>SUM(Q60:Q61)</x:f>
        <x:v>5393.05675</x:v>
      </x:c>
      <x:c r="R62" s="9" t="n">
        <x:f>SUM(R60:R61)</x:f>
        <x:v>5410.20625</x:v>
      </x:c>
      <x:c r="S62" s="9" t="n">
        <x:f>SUM(S60:S61)</x:f>
        <x:v>5427.35575</x:v>
      </x:c>
      <x:c r="T62" s="9" t="n">
        <x:f>SUM(T60:T61)</x:f>
        <x:v>5444.50525</x:v>
      </x:c>
      <x:c r="U62" s="9" t="n">
        <x:f>SUM(U60:U61)</x:f>
        <x:v>5461.65475</x:v>
      </x:c>
      <x:c r="V62" s="9" t="n">
        <x:f>SUM(V60:V61)</x:f>
        <x:v>5478.80425</x:v>
      </x:c>
      <x:c r="W62" s="9" t="n">
        <x:f>SUM(W60:W61)</x:f>
        <x:v>5495.95375</x:v>
      </x:c>
      <x:c r="X62" s="9" t="n">
        <x:f>SUM(X60:X61)</x:f>
        <x:v>5513.10325</x:v>
      </x:c>
      <x:c r="Y62" s="9" t="n">
        <x:f>SUM(Y60:Y61)</x:f>
        <x:v>5530.25275</x:v>
      </x:c>
      <x:c r="Z62" s="9" t="n">
        <x:f>SUM(Z60:Z61)</x:f>
        <x:v>5547.40225</x:v>
      </x:c>
      <x:c r="AA62" s="9" t="n">
        <x:f>SUM(AA60:AA61)</x:f>
        <x:v>5564.55175</x:v>
      </x:c>
      <x:c r="AB62" s="9" t="n">
        <x:f>SUM(AB60:AB61)</x:f>
        <x:v>5581.9584925</x:v>
      </x:c>
      <x:c r="AC62" s="9" t="n">
        <x:f>SUM(AC60:AC61)</x:f>
        <x:v>5599.6224775</x:v>
      </x:c>
      <x:c r="AD62" s="9" t="n">
        <x:f>SUM(AD60:AD61)</x:f>
        <x:v>5617.2864625</x:v>
      </x:c>
      <x:c r="AE62" s="9" t="n">
        <x:f>SUM(AE60:AE61)</x:f>
        <x:v>5634.9504475</x:v>
      </x:c>
      <x:c r="AF62" s="9" t="n">
        <x:f>SUM(AF60:AF61)</x:f>
        <x:v>5652.6144325000005</x:v>
      </x:c>
      <x:c r="AG62" s="9" t="n">
        <x:f>SUM(AG60:AG61)</x:f>
        <x:v>5670.2784175</x:v>
      </x:c>
      <x:c r="AH62" s="9" t="n">
        <x:f>SUM(AH60:AH61)</x:f>
        <x:v>5687.9424025</x:v>
      </x:c>
      <x:c r="AI62" s="9" t="n">
        <x:f>SUM(AI60:AI61)</x:f>
        <x:v>5705.6063875</x:v>
      </x:c>
      <x:c r="AJ62" s="9" t="n">
        <x:f>SUM(AJ60:AJ61)</x:f>
        <x:v>5723.2703725</x:v>
      </x:c>
      <x:c r="AK62" s="9" t="n">
        <x:f>SUM(AK60:AK61)</x:f>
        <x:v>5740.9343575</x:v>
      </x:c>
      <x:c r="AL62" s="9" t="n">
        <x:f>SUM(AL60:AL61)</x:f>
        <x:v>5758.5983425</x:v>
      </x:c>
      <x:c r="AM62" s="9" t="n">
        <x:f>SUM(AM60:AM61)</x:f>
        <x:v>5776.2623275000005</x:v>
      </x:c>
      <x:c r="AN62" s="2"/>
    </x:row>
    <x:row r="63" ht="21" customHeight="1">
      <x:c r="A63" s="1"/>
      <x:c r="B63" s="1"/>
      <x:c r="C63" s="1" t="str">
        <x:v>EBIT</x:v>
      </x:c>
      <x:c r="D63" s="9" t="n">
        <x:f>D56-D62</x:f>
        <x:v>-37288.77582916667</x:v>
      </x:c>
      <x:c r="E63" s="9" t="n">
        <x:f>E56-E62</x:f>
        <x:v>-31072.34616166667</x:v>
      </x:c>
      <x:c r="F63" s="9" t="n">
        <x:f>F56-F62</x:f>
        <x:v>-24857.58149416667</x:v>
      </x:c>
      <x:c r="G63" s="9" t="n">
        <x:f>G56-G62</x:f>
        <x:v>-21756.85916041667</x:v>
      </x:c>
      <x:c r="H63" s="9" t="n">
        <x:f>H56-H62</x:f>
        <x:v>-18656.969326666673</x:v>
      </x:c>
      <x:c r="I63" s="9" t="n">
        <x:f>I56-I62</x:f>
        <x:v>-15557.911992916675</x:v>
      </x:c>
      <x:c r="J63" s="9" t="n">
        <x:f>J56-J62</x:f>
        <x:v>-12459.687159166675</x:v>
      </x:c>
      <x:c r="K63" s="9" t="n">
        <x:f>K56-K62</x:f>
        <x:v>-9362.294825416666</x:v>
      </x:c>
      <x:c r="L63" s="9" t="n">
        <x:f>L56-L62</x:f>
        <x:v>-6265.734991666673</x:v>
      </x:c>
      <x:c r="M63" s="9" t="n">
        <x:f>M56-M62</x:f>
        <x:v>-6282.384991666673</x:v>
      </x:c>
      <x:c r="N63" s="9" t="n">
        <x:f>N56-N62</x:f>
        <x:v>-6299.034991666673</x:v>
      </x:c>
      <x:c r="O63" s="9" t="n">
        <x:f>O56-O62</x:f>
        <x:v>-6315.684991666672</x:v>
      </x:c>
      <x:c r="P63" s="9" t="n">
        <x:f>P56-P62</x:f>
        <x:v>-6497.115066416656</x:v>
      </x:c>
      <x:c r="Q63" s="9" t="n">
        <x:f>Q56-Q62</x:f>
        <x:v>-6514.264566416656</x:v>
      </x:c>
      <x:c r="R63" s="9" t="n">
        <x:f>R56-R62</x:f>
        <x:v>-6531.414066416656</x:v>
      </x:c>
      <x:c r="S63" s="9" t="n">
        <x:f>S56-S62</x:f>
        <x:v>-6548.563566416656</x:v>
      </x:c>
      <x:c r="T63" s="9" t="n">
        <x:f>T56-T62</x:f>
        <x:v>-6565.713066416656</x:v>
      </x:c>
      <x:c r="U63" s="9" t="n">
        <x:f>U56-U62</x:f>
        <x:v>-6582.862566416656</x:v>
      </x:c>
      <x:c r="V63" s="9" t="n">
        <x:f>V56-V62</x:f>
        <x:v>-6600.012066416656</x:v>
      </x:c>
      <x:c r="W63" s="9" t="n">
        <x:f>W56-W62</x:f>
        <x:v>-6617.161566416656</x:v>
      </x:c>
      <x:c r="X63" s="9" t="n">
        <x:f>X56-X62</x:f>
        <x:v>-6634.311066416656</x:v>
      </x:c>
      <x:c r="Y63" s="9" t="n">
        <x:f>Y56-Y62</x:f>
        <x:v>-6651.460566416656</x:v>
      </x:c>
      <x:c r="Z63" s="9" t="n">
        <x:f>Z56-Z62</x:f>
        <x:v>-6668.610066416656</x:v>
      </x:c>
      <x:c r="AA63" s="9" t="n">
        <x:f>AA56-AA62</x:f>
        <x:v>-6685.759566416656</x:v>
      </x:c>
      <x:c r="AB63" s="9" t="n">
        <x:f>AB56-AB62</x:f>
        <x:v>-6882.094543409157</x:v>
      </x:c>
      <x:c r="AC63" s="9" t="n">
        <x:f>AC56-AC62</x:f>
        <x:v>-6899.758528409157</x:v>
      </x:c>
      <x:c r="AD63" s="9" t="n">
        <x:f>AD56-AD62</x:f>
        <x:v>-6917.422513409158</x:v>
      </x:c>
      <x:c r="AE63" s="9" t="n">
        <x:f>AE56-AE62</x:f>
        <x:v>-6935.086498409158</x:v>
      </x:c>
      <x:c r="AF63" s="9" t="n">
        <x:f>AF56-AF62</x:f>
        <x:v>-6952.750483409158</x:v>
      </x:c>
      <x:c r="AG63" s="9" t="n">
        <x:f>AG56-AG62</x:f>
        <x:v>-6970.414468409157</x:v>
      </x:c>
      <x:c r="AH63" s="9" t="n">
        <x:f>AH56-AH62</x:f>
        <x:v>-6988.078453409157</x:v>
      </x:c>
      <x:c r="AI63" s="9" t="n">
        <x:f>AI56-AI62</x:f>
        <x:v>-7005.742438409157</x:v>
      </x:c>
      <x:c r="AJ63" s="9" t="n">
        <x:f>AJ56-AJ62</x:f>
        <x:v>-7023.4064234091575</x:v>
      </x:c>
      <x:c r="AK63" s="9" t="n">
        <x:f>AK56-AK62</x:f>
        <x:v>-7041.070408409158</x:v>
      </x:c>
      <x:c r="AL63" s="9" t="n">
        <x:f>AL56-AL62</x:f>
        <x:v>-7058.734393409158</x:v>
      </x:c>
      <x:c r="AM63" s="9" t="n">
        <x:f>AM56-AM62</x:f>
        <x:v>-7076.398378409158</x:v>
      </x:c>
      <x:c r="AN63" s="2"/>
    </x:row>
    <x:row r="64" ht="21" customHeight="1">
      <x:c r="A64" s="1"/>
      <x:c r="B64" s="1"/>
      <x:c r="C64" s="1" t="str">
        <x:v>Tax provision (no loss credits)</x:v>
      </x:c>
      <x:c r="D64" s="4" t="n">
        <x:f>MAX(0,D63)*'Assumptions'!D51</x:f>
        <x:v>0</x:v>
      </x:c>
      <x:c r="E64" s="4" t="n">
        <x:f>MAX(0,E63)*'Assumptions'!D51</x:f>
        <x:v>0</x:v>
      </x:c>
      <x:c r="F64" s="4" t="n">
        <x:f>MAX(0,F63)*'Assumptions'!D51</x:f>
        <x:v>0</x:v>
      </x:c>
      <x:c r="G64" s="4" t="n">
        <x:f>MAX(0,G63)*'Assumptions'!D51</x:f>
        <x:v>0</x:v>
      </x:c>
      <x:c r="H64" s="4" t="n">
        <x:f>MAX(0,H63)*'Assumptions'!D51</x:f>
        <x:v>0</x:v>
      </x:c>
      <x:c r="I64" s="4" t="n">
        <x:f>MAX(0,I63)*'Assumptions'!D51</x:f>
        <x:v>0</x:v>
      </x:c>
      <x:c r="J64" s="4" t="n">
        <x:f>MAX(0,J63)*'Assumptions'!D51</x:f>
        <x:v>0</x:v>
      </x:c>
      <x:c r="K64" s="4" t="n">
        <x:f>MAX(0,K63)*'Assumptions'!D51</x:f>
        <x:v>0</x:v>
      </x:c>
      <x:c r="L64" s="4" t="n">
        <x:f>MAX(0,L63)*'Assumptions'!D51</x:f>
        <x:v>0</x:v>
      </x:c>
      <x:c r="M64" s="4" t="n">
        <x:f>MAX(0,M63)*'Assumptions'!D51</x:f>
        <x:v>0</x:v>
      </x:c>
      <x:c r="N64" s="4" t="n">
        <x:f>MAX(0,N63)*'Assumptions'!D51</x:f>
        <x:v>0</x:v>
      </x:c>
      <x:c r="O64" s="4" t="n">
        <x:f>MAX(0,O63)*'Assumptions'!D51</x:f>
        <x:v>0</x:v>
      </x:c>
      <x:c r="P64" s="4" t="n">
        <x:f>MAX(0,P63)*'Assumptions'!E51</x:f>
        <x:v>0</x:v>
      </x:c>
      <x:c r="Q64" s="4" t="n">
        <x:f>MAX(0,Q63)*'Assumptions'!E51</x:f>
        <x:v>0</x:v>
      </x:c>
      <x:c r="R64" s="4" t="n">
        <x:f>MAX(0,R63)*'Assumptions'!E51</x:f>
        <x:v>0</x:v>
      </x:c>
      <x:c r="S64" s="4" t="n">
        <x:f>MAX(0,S63)*'Assumptions'!E51</x:f>
        <x:v>0</x:v>
      </x:c>
      <x:c r="T64" s="4" t="n">
        <x:f>MAX(0,T63)*'Assumptions'!E51</x:f>
        <x:v>0</x:v>
      </x:c>
      <x:c r="U64" s="4" t="n">
        <x:f>MAX(0,U63)*'Assumptions'!E51</x:f>
        <x:v>0</x:v>
      </x:c>
      <x:c r="V64" s="4" t="n">
        <x:f>MAX(0,V63)*'Assumptions'!E51</x:f>
        <x:v>0</x:v>
      </x:c>
      <x:c r="W64" s="4" t="n">
        <x:f>MAX(0,W63)*'Assumptions'!E51</x:f>
        <x:v>0</x:v>
      </x:c>
      <x:c r="X64" s="4" t="n">
        <x:f>MAX(0,X63)*'Assumptions'!E51</x:f>
        <x:v>0</x:v>
      </x:c>
      <x:c r="Y64" s="4" t="n">
        <x:f>MAX(0,Y63)*'Assumptions'!E51</x:f>
        <x:v>0</x:v>
      </x:c>
      <x:c r="Z64" s="4" t="n">
        <x:f>MAX(0,Z63)*'Assumptions'!E51</x:f>
        <x:v>0</x:v>
      </x:c>
      <x:c r="AA64" s="4" t="n">
        <x:f>MAX(0,AA63)*'Assumptions'!E51</x:f>
        <x:v>0</x:v>
      </x:c>
      <x:c r="AB64" s="4" t="n">
        <x:f>MAX(0,AB63)*'Assumptions'!F51</x:f>
        <x:v>0</x:v>
      </x:c>
      <x:c r="AC64" s="4" t="n">
        <x:f>MAX(0,AC63)*'Assumptions'!F51</x:f>
        <x:v>0</x:v>
      </x:c>
      <x:c r="AD64" s="4" t="n">
        <x:f>MAX(0,AD63)*'Assumptions'!F51</x:f>
        <x:v>0</x:v>
      </x:c>
      <x:c r="AE64" s="4" t="n">
        <x:f>MAX(0,AE63)*'Assumptions'!F51</x:f>
        <x:v>0</x:v>
      </x:c>
      <x:c r="AF64" s="4" t="n">
        <x:f>MAX(0,AF63)*'Assumptions'!F51</x:f>
        <x:v>0</x:v>
      </x:c>
      <x:c r="AG64" s="4" t="n">
        <x:f>MAX(0,AG63)*'Assumptions'!F51</x:f>
        <x:v>0</x:v>
      </x:c>
      <x:c r="AH64" s="4" t="n">
        <x:f>MAX(0,AH63)*'Assumptions'!F51</x:f>
        <x:v>0</x:v>
      </x:c>
      <x:c r="AI64" s="4" t="n">
        <x:f>MAX(0,AI63)*'Assumptions'!F51</x:f>
        <x:v>0</x:v>
      </x:c>
      <x:c r="AJ64" s="4" t="n">
        <x:f>MAX(0,AJ63)*'Assumptions'!F51</x:f>
        <x:v>0</x:v>
      </x:c>
      <x:c r="AK64" s="4" t="n">
        <x:f>MAX(0,AK63)*'Assumptions'!F51</x:f>
        <x:v>0</x:v>
      </x:c>
      <x:c r="AL64" s="4" t="n">
        <x:f>MAX(0,AL63)*'Assumptions'!F51</x:f>
        <x:v>0</x:v>
      </x:c>
      <x:c r="AM64" s="4" t="n">
        <x:f>MAX(0,AM63)*'Assumptions'!F51</x:f>
        <x:v>0</x:v>
      </x:c>
      <x:c r="AN64" s="2"/>
    </x:row>
    <x:row r="65" ht="21" customHeight="1">
      <x:c r="A65" s="1"/>
      <x:c r="B65" s="1"/>
      <x:c r="C65" s="10" t="str">
        <x:v>Net income after planning tax</x:v>
      </x:c>
      <x:c r="D65" s="11" t="n">
        <x:f>D63-D64</x:f>
        <x:v>-37288.77582916667</x:v>
      </x:c>
      <x:c r="E65" s="11" t="n">
        <x:f>E63-E64</x:f>
        <x:v>-31072.34616166667</x:v>
      </x:c>
      <x:c r="F65" s="11" t="n">
        <x:f>F63-F64</x:f>
        <x:v>-24857.58149416667</x:v>
      </x:c>
      <x:c r="G65" s="11" t="n">
        <x:f>G63-G64</x:f>
        <x:v>-21756.85916041667</x:v>
      </x:c>
      <x:c r="H65" s="11" t="n">
        <x:f>H63-H64</x:f>
        <x:v>-18656.969326666673</x:v>
      </x:c>
      <x:c r="I65" s="11" t="n">
        <x:f>I63-I64</x:f>
        <x:v>-15557.911992916675</x:v>
      </x:c>
      <x:c r="J65" s="11" t="n">
        <x:f>J63-J64</x:f>
        <x:v>-12459.687159166675</x:v>
      </x:c>
      <x:c r="K65" s="11" t="n">
        <x:f>K63-K64</x:f>
        <x:v>-9362.294825416666</x:v>
      </x:c>
      <x:c r="L65" s="11" t="n">
        <x:f>L63-L64</x:f>
        <x:v>-6265.734991666673</x:v>
      </x:c>
      <x:c r="M65" s="11" t="n">
        <x:f>M63-M64</x:f>
        <x:v>-6282.384991666673</x:v>
      </x:c>
      <x:c r="N65" s="11" t="n">
        <x:f>N63-N64</x:f>
        <x:v>-6299.034991666673</x:v>
      </x:c>
      <x:c r="O65" s="11" t="n">
        <x:f>O63-O64</x:f>
        <x:v>-6315.684991666672</x:v>
      </x:c>
      <x:c r="P65" s="11" t="n">
        <x:f>P63-P64</x:f>
        <x:v>-6497.115066416656</x:v>
      </x:c>
      <x:c r="Q65" s="11" t="n">
        <x:f>Q63-Q64</x:f>
        <x:v>-6514.264566416656</x:v>
      </x:c>
      <x:c r="R65" s="11" t="n">
        <x:f>R63-R64</x:f>
        <x:v>-6531.414066416656</x:v>
      </x:c>
      <x:c r="S65" s="11" t="n">
        <x:f>S63-S64</x:f>
        <x:v>-6548.563566416656</x:v>
      </x:c>
      <x:c r="T65" s="11" t="n">
        <x:f>T63-T64</x:f>
        <x:v>-6565.713066416656</x:v>
      </x:c>
      <x:c r="U65" s="11" t="n">
        <x:f>U63-U64</x:f>
        <x:v>-6582.862566416656</x:v>
      </x:c>
      <x:c r="V65" s="11" t="n">
        <x:f>V63-V64</x:f>
        <x:v>-6600.012066416656</x:v>
      </x:c>
      <x:c r="W65" s="11" t="n">
        <x:f>W63-W64</x:f>
        <x:v>-6617.161566416656</x:v>
      </x:c>
      <x:c r="X65" s="11" t="n">
        <x:f>X63-X64</x:f>
        <x:v>-6634.311066416656</x:v>
      </x:c>
      <x:c r="Y65" s="11" t="n">
        <x:f>Y63-Y64</x:f>
        <x:v>-6651.460566416656</x:v>
      </x:c>
      <x:c r="Z65" s="11" t="n">
        <x:f>Z63-Z64</x:f>
        <x:v>-6668.610066416656</x:v>
      </x:c>
      <x:c r="AA65" s="11" t="n">
        <x:f>AA63-AA64</x:f>
        <x:v>-6685.759566416656</x:v>
      </x:c>
      <x:c r="AB65" s="11" t="n">
        <x:f>AB63-AB64</x:f>
        <x:v>-6882.094543409157</x:v>
      </x:c>
      <x:c r="AC65" s="11" t="n">
        <x:f>AC63-AC64</x:f>
        <x:v>-6899.758528409157</x:v>
      </x:c>
      <x:c r="AD65" s="11" t="n">
        <x:f>AD63-AD64</x:f>
        <x:v>-6917.422513409158</x:v>
      </x:c>
      <x:c r="AE65" s="11" t="n">
        <x:f>AE63-AE64</x:f>
        <x:v>-6935.086498409158</x:v>
      </x:c>
      <x:c r="AF65" s="11" t="n">
        <x:f>AF63-AF64</x:f>
        <x:v>-6952.750483409158</x:v>
      </x:c>
      <x:c r="AG65" s="11" t="n">
        <x:f>AG63-AG64</x:f>
        <x:v>-6970.414468409157</x:v>
      </x:c>
      <x:c r="AH65" s="11" t="n">
        <x:f>AH63-AH64</x:f>
        <x:v>-6988.078453409157</x:v>
      </x:c>
      <x:c r="AI65" s="11" t="n">
        <x:f>AI63-AI64</x:f>
        <x:v>-7005.742438409157</x:v>
      </x:c>
      <x:c r="AJ65" s="11" t="n">
        <x:f>AJ63-AJ64</x:f>
        <x:v>-7023.4064234091575</x:v>
      </x:c>
      <x:c r="AK65" s="11" t="n">
        <x:f>AK63-AK64</x:f>
        <x:v>-7041.070408409158</x:v>
      </x:c>
      <x:c r="AL65" s="11" t="n">
        <x:f>AL63-AL64</x:f>
        <x:v>-7058.734393409158</x:v>
      </x:c>
      <x:c r="AM65" s="11" t="n">
        <x:f>AM63-AM64</x:f>
        <x:v>-7076.398378409158</x:v>
      </x:c>
      <x:c r="AN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1" t="str">
        <x:v>Receivables</x:v>
      </x:c>
      <x:c r="D67" s="4" t="n">
        <x:f>D27*'Assumptions'!D39*'Assumptions'!D50/D10</x:f>
        <x:v>2997</x:v>
      </x:c>
      <x:c r="E67" s="4" t="n">
        <x:f>E27*'Assumptions'!D39*'Assumptions'!D50/E10</x:f>
        <x:v>3596.4</x:v>
      </x:c>
      <x:c r="F67" s="4" t="n">
        <x:f>F27*'Assumptions'!D39*'Assumptions'!D50/F10</x:f>
        <x:v>4195.8</x:v>
      </x:c>
      <x:c r="G67" s="4" t="n">
        <x:f>G27*'Assumptions'!D39*'Assumptions'!D50/G10</x:f>
        <x:v>4495.5</x:v>
      </x:c>
      <x:c r="H67" s="4" t="n">
        <x:f>H27*'Assumptions'!D39*'Assumptions'!D50/H10</x:f>
        <x:v>4795.2</x:v>
      </x:c>
      <x:c r="I67" s="4" t="n">
        <x:f>I27*'Assumptions'!D39*'Assumptions'!D50/I10</x:f>
        <x:v>5094.9</x:v>
      </x:c>
      <x:c r="J67" s="4" t="n">
        <x:f>J27*'Assumptions'!D39*'Assumptions'!D50/J10</x:f>
        <x:v>5394.6</x:v>
      </x:c>
      <x:c r="K67" s="4" t="n">
        <x:f>K27*'Assumptions'!D39*'Assumptions'!D50/K10</x:f>
        <x:v>5694.3</x:v>
      </x:c>
      <x:c r="L67" s="4" t="n">
        <x:f>L27*'Assumptions'!D39*'Assumptions'!D50/L10</x:f>
        <x:v>5994</x:v>
      </x:c>
      <x:c r="M67" s="4" t="n">
        <x:f>M27*'Assumptions'!D39*'Assumptions'!D50/M10</x:f>
        <x:v>5994</x:v>
      </x:c>
      <x:c r="N67" s="4" t="n">
        <x:f>N27*'Assumptions'!D39*'Assumptions'!D50/N10</x:f>
        <x:v>5994</x:v>
      </x:c>
      <x:c r="O67" s="4" t="n">
        <x:f>O27*'Assumptions'!D39*'Assumptions'!D50/O10</x:f>
        <x:v>5994</x:v>
      </x:c>
      <x:c r="P67" s="4" t="n">
        <x:f>P27*'Assumptions'!E39*'Assumptions'!E50/P10</x:f>
        <x:v>6173.820000000001</x:v>
      </x:c>
      <x:c r="Q67" s="4" t="n">
        <x:f>Q27*'Assumptions'!E39*'Assumptions'!E50/Q10</x:f>
        <x:v>6173.820000000001</x:v>
      </x:c>
      <x:c r="R67" s="4" t="n">
        <x:f>R27*'Assumptions'!E39*'Assumptions'!E50/R10</x:f>
        <x:v>6173.820000000001</x:v>
      </x:c>
      <x:c r="S67" s="4" t="n">
        <x:f>S27*'Assumptions'!E39*'Assumptions'!E50/S10</x:f>
        <x:v>6173.820000000001</x:v>
      </x:c>
      <x:c r="T67" s="4" t="n">
        <x:f>T27*'Assumptions'!E39*'Assumptions'!E50/T10</x:f>
        <x:v>6173.820000000001</x:v>
      </x:c>
      <x:c r="U67" s="4" t="n">
        <x:f>U27*'Assumptions'!E39*'Assumptions'!E50/U10</x:f>
        <x:v>6173.820000000001</x:v>
      </x:c>
      <x:c r="V67" s="4" t="n">
        <x:f>V27*'Assumptions'!E39*'Assumptions'!E50/V10</x:f>
        <x:v>6173.820000000001</x:v>
      </x:c>
      <x:c r="W67" s="4" t="n">
        <x:f>W27*'Assumptions'!E39*'Assumptions'!E50/W10</x:f>
        <x:v>6173.820000000001</x:v>
      </x:c>
      <x:c r="X67" s="4" t="n">
        <x:f>X27*'Assumptions'!E39*'Assumptions'!E50/X10</x:f>
        <x:v>6173.820000000001</x:v>
      </x:c>
      <x:c r="Y67" s="4" t="n">
        <x:f>Y27*'Assumptions'!E39*'Assumptions'!E50/Y10</x:f>
        <x:v>6173.820000000001</x:v>
      </x:c>
      <x:c r="Z67" s="4" t="n">
        <x:f>Z27*'Assumptions'!E39*'Assumptions'!E50/Z10</x:f>
        <x:v>6173.820000000001</x:v>
      </x:c>
      <x:c r="AA67" s="4" t="n">
        <x:f>AA27*'Assumptions'!E39*'Assumptions'!E50/AA10</x:f>
        <x:v>6173.820000000001</x:v>
      </x:c>
      <x:c r="AB67" s="4" t="n">
        <x:f>AB27*'Assumptions'!F39*'Assumptions'!F50/AB10</x:f>
        <x:v>6359.0346</x:v>
      </x:c>
      <x:c r="AC67" s="4" t="n">
        <x:f>AC27*'Assumptions'!F39*'Assumptions'!F50/AC10</x:f>
        <x:v>6359.0346</x:v>
      </x:c>
      <x:c r="AD67" s="4" t="n">
        <x:f>AD27*'Assumptions'!F39*'Assumptions'!F50/AD10</x:f>
        <x:v>6359.0346</x:v>
      </x:c>
      <x:c r="AE67" s="4" t="n">
        <x:f>AE27*'Assumptions'!F39*'Assumptions'!F50/AE10</x:f>
        <x:v>6359.0346</x:v>
      </x:c>
      <x:c r="AF67" s="4" t="n">
        <x:f>AF27*'Assumptions'!F39*'Assumptions'!F50/AF10</x:f>
        <x:v>6359.0346</x:v>
      </x:c>
      <x:c r="AG67" s="4" t="n">
        <x:f>AG27*'Assumptions'!F39*'Assumptions'!F50/AG10</x:f>
        <x:v>6359.0346</x:v>
      </x:c>
      <x:c r="AH67" s="4" t="n">
        <x:f>AH27*'Assumptions'!F39*'Assumptions'!F50/AH10</x:f>
        <x:v>6359.0346</x:v>
      </x:c>
      <x:c r="AI67" s="4" t="n">
        <x:f>AI27*'Assumptions'!F39*'Assumptions'!F50/AI10</x:f>
        <x:v>6359.0346</x:v>
      </x:c>
      <x:c r="AJ67" s="4" t="n">
        <x:f>AJ27*'Assumptions'!F39*'Assumptions'!F50/AJ10</x:f>
        <x:v>6359.0346</x:v>
      </x:c>
      <x:c r="AK67" s="4" t="n">
        <x:f>AK27*'Assumptions'!F39*'Assumptions'!F50/AK10</x:f>
        <x:v>6359.0346</x:v>
      </x:c>
      <x:c r="AL67" s="4" t="n">
        <x:f>AL27*'Assumptions'!F39*'Assumptions'!F50/AL10</x:f>
        <x:v>6359.0346</x:v>
      </x:c>
      <x:c r="AM67" s="4" t="n">
        <x:f>AM27*'Assumptions'!F39*'Assumptions'!F50/AM10</x:f>
        <x:v>6359.0346</x:v>
      </x:c>
      <x:c r="AN67" s="2"/>
    </x:row>
    <x:row r="68" ht="21" customHeight="1">
      <x:c r="A68" s="1"/>
      <x:c r="B68" s="1"/>
      <x:c r="C68" s="1" t="str">
        <x:v>Inventory</x:v>
      </x:c>
      <x:c r="D68" s="4" t="n">
        <x:f>MAX('Assumptions'!D48*D14,D32/D10*'Assumptions'!D47)</x:f>
        <x:v>20000</x:v>
      </x:c>
      <x:c r="E68" s="4" t="n">
        <x:f>MAX('Assumptions'!D48*E14,E32/E10*'Assumptions'!D47)</x:f>
        <x:v>20000</x:v>
      </x:c>
      <x:c r="F68" s="4" t="n">
        <x:f>MAX('Assumptions'!D48*F14,F32/F10*'Assumptions'!D47)</x:f>
        <x:v>20000</x:v>
      </x:c>
      <x:c r="G68" s="4" t="n">
        <x:f>MAX('Assumptions'!D48*G14,G32/G10*'Assumptions'!D47)</x:f>
        <x:v>20000</x:v>
      </x:c>
      <x:c r="H68" s="4" t="n">
        <x:f>MAX('Assumptions'!D48*H14,H32/H10*'Assumptions'!D47)</x:f>
        <x:v>20000</x:v>
      </x:c>
      <x:c r="I68" s="4" t="n">
        <x:f>MAX('Assumptions'!D48*I14,I32/I10*'Assumptions'!D47)</x:f>
        <x:v>20000</x:v>
      </x:c>
      <x:c r="J68" s="4" t="n">
        <x:f>MAX('Assumptions'!D48*J14,J32/J10*'Assumptions'!D47)</x:f>
        <x:v>20000</x:v>
      </x:c>
      <x:c r="K68" s="4" t="n">
        <x:f>MAX('Assumptions'!D48*K14,K32/K10*'Assumptions'!D47)</x:f>
        <x:v>20199.375</x:v>
      </x:c>
      <x:c r="L68" s="4" t="n">
        <x:f>MAX('Assumptions'!D48*L14,L32/L10*'Assumptions'!D47)</x:f>
        <x:v>21262.5</x:v>
      </x:c>
      <x:c r="M68" s="4" t="n">
        <x:f>MAX('Assumptions'!D48*M14,M32/M10*'Assumptions'!D47)</x:f>
        <x:v>21262.5</x:v>
      </x:c>
      <x:c r="N68" s="4" t="n">
        <x:f>MAX('Assumptions'!D48*N14,N32/N10*'Assumptions'!D47)</x:f>
        <x:v>21262.5</x:v>
      </x:c>
      <x:c r="O68" s="4" t="n">
        <x:f>MAX('Assumptions'!D48*O14,O32/O10*'Assumptions'!D47)</x:f>
        <x:v>21262.5</x:v>
      </x:c>
      <x:c r="P68" s="4" t="n">
        <x:f>MAX('Assumptions'!E48*P14,P32/P10*'Assumptions'!E47)</x:f>
        <x:v>21900.375</x:v>
      </x:c>
      <x:c r="Q68" s="4" t="n">
        <x:f>MAX('Assumptions'!E48*Q14,Q32/Q10*'Assumptions'!E47)</x:f>
        <x:v>21900.375</x:v>
      </x:c>
      <x:c r="R68" s="4" t="n">
        <x:f>MAX('Assumptions'!E48*R14,R32/R10*'Assumptions'!E47)</x:f>
        <x:v>21900.375</x:v>
      </x:c>
      <x:c r="S68" s="4" t="n">
        <x:f>MAX('Assumptions'!E48*S14,S32/S10*'Assumptions'!E47)</x:f>
        <x:v>21900.375</x:v>
      </x:c>
      <x:c r="T68" s="4" t="n">
        <x:f>MAX('Assumptions'!E48*T14,T32/T10*'Assumptions'!E47)</x:f>
        <x:v>21900.375</x:v>
      </x:c>
      <x:c r="U68" s="4" t="n">
        <x:f>MAX('Assumptions'!E48*U14,U32/U10*'Assumptions'!E47)</x:f>
        <x:v>21900.375</x:v>
      </x:c>
      <x:c r="V68" s="4" t="n">
        <x:f>MAX('Assumptions'!E48*V14,V32/V10*'Assumptions'!E47)</x:f>
        <x:v>21900.375</x:v>
      </x:c>
      <x:c r="W68" s="4" t="n">
        <x:f>MAX('Assumptions'!E48*W14,W32/W10*'Assumptions'!E47)</x:f>
        <x:v>21900.375</x:v>
      </x:c>
      <x:c r="X68" s="4" t="n">
        <x:f>MAX('Assumptions'!E48*X14,X32/X10*'Assumptions'!E47)</x:f>
        <x:v>21900.375</x:v>
      </x:c>
      <x:c r="Y68" s="4" t="n">
        <x:f>MAX('Assumptions'!E48*Y14,Y32/Y10*'Assumptions'!E47)</x:f>
        <x:v>21900.375</x:v>
      </x:c>
      <x:c r="Z68" s="4" t="n">
        <x:f>MAX('Assumptions'!E48*Z14,Z32/Z10*'Assumptions'!E47)</x:f>
        <x:v>21900.375</x:v>
      </x:c>
      <x:c r="AA68" s="4" t="n">
        <x:f>MAX('Assumptions'!E48*AA14,AA32/AA10*'Assumptions'!E47)</x:f>
        <x:v>21900.375</x:v>
      </x:c>
      <x:c r="AB68" s="4" t="n">
        <x:f>MAX('Assumptions'!F48*AB14,AB32/AB10*'Assumptions'!F47)</x:f>
        <x:v>22557.386249999996</x:v>
      </x:c>
      <x:c r="AC68" s="4" t="n">
        <x:f>MAX('Assumptions'!F48*AC14,AC32/AC10*'Assumptions'!F47)</x:f>
        <x:v>22557.386249999996</x:v>
      </x:c>
      <x:c r="AD68" s="4" t="n">
        <x:f>MAX('Assumptions'!F48*AD14,AD32/AD10*'Assumptions'!F47)</x:f>
        <x:v>22557.386249999996</x:v>
      </x:c>
      <x:c r="AE68" s="4" t="n">
        <x:f>MAX('Assumptions'!F48*AE14,AE32/AE10*'Assumptions'!F47)</x:f>
        <x:v>22557.386249999996</x:v>
      </x:c>
      <x:c r="AF68" s="4" t="n">
        <x:f>MAX('Assumptions'!F48*AF14,AF32/AF10*'Assumptions'!F47)</x:f>
        <x:v>22557.386249999996</x:v>
      </x:c>
      <x:c r="AG68" s="4" t="n">
        <x:f>MAX('Assumptions'!F48*AG14,AG32/AG10*'Assumptions'!F47)</x:f>
        <x:v>22557.386249999996</x:v>
      </x:c>
      <x:c r="AH68" s="4" t="n">
        <x:f>MAX('Assumptions'!F48*AH14,AH32/AH10*'Assumptions'!F47)</x:f>
        <x:v>22557.386249999996</x:v>
      </x:c>
      <x:c r="AI68" s="4" t="n">
        <x:f>MAX('Assumptions'!F48*AI14,AI32/AI10*'Assumptions'!F47)</x:f>
        <x:v>22557.386249999996</x:v>
      </x:c>
      <x:c r="AJ68" s="4" t="n">
        <x:f>MAX('Assumptions'!F48*AJ14,AJ32/AJ10*'Assumptions'!F47)</x:f>
        <x:v>22557.386249999996</x:v>
      </x:c>
      <x:c r="AK68" s="4" t="n">
        <x:f>MAX('Assumptions'!F48*AK14,AK32/AK10*'Assumptions'!F47)</x:f>
        <x:v>22557.386249999996</x:v>
      </x:c>
      <x:c r="AL68" s="4" t="n">
        <x:f>MAX('Assumptions'!F48*AL14,AL32/AL10*'Assumptions'!F47)</x:f>
        <x:v>22557.386249999996</x:v>
      </x:c>
      <x:c r="AM68" s="4" t="n">
        <x:f>MAX('Assumptions'!F48*AM14,AM32/AM10*'Assumptions'!F47)</x:f>
        <x:v>22557.386249999996</x:v>
      </x:c>
      <x:c r="AN68" s="2"/>
    </x:row>
    <x:row r="69" ht="21" customHeight="1">
      <x:c r="A69" s="1"/>
      <x:c r="B69" s="1"/>
      <x:c r="C69" s="1" t="str">
        <x:v>Trade payables</x:v>
      </x:c>
      <x:c r="D69" s="4" t="n">
        <x:f>D32/D10*'Assumptions'!D49</x:f>
        <x:v>3543.75</x:v>
      </x:c>
      <x:c r="E69" s="4" t="n">
        <x:f>E32/E10*'Assumptions'!D49</x:f>
        <x:v>4252.5</x:v>
      </x:c>
      <x:c r="F69" s="4" t="n">
        <x:f>F32/F10*'Assumptions'!D49</x:f>
        <x:v>4961.25</x:v>
      </x:c>
      <x:c r="G69" s="4" t="n">
        <x:f>G32/G10*'Assumptions'!D49</x:f>
        <x:v>5315.625</x:v>
      </x:c>
      <x:c r="H69" s="4" t="n">
        <x:f>H32/H10*'Assumptions'!D49</x:f>
        <x:v>5670</x:v>
      </x:c>
      <x:c r="I69" s="4" t="n">
        <x:f>I32/I10*'Assumptions'!D49</x:f>
        <x:v>6024.375</x:v>
      </x:c>
      <x:c r="J69" s="4" t="n">
        <x:f>J32/J10*'Assumptions'!D49</x:f>
        <x:v>6378.75</x:v>
      </x:c>
      <x:c r="K69" s="4" t="n">
        <x:f>K32/K10*'Assumptions'!D49</x:f>
        <x:v>6733.125</x:v>
      </x:c>
      <x:c r="L69" s="4" t="n">
        <x:f>L32/L10*'Assumptions'!D49</x:f>
        <x:v>7087.5</x:v>
      </x:c>
      <x:c r="M69" s="4" t="n">
        <x:f>M32/M10*'Assumptions'!D49</x:f>
        <x:v>7087.5</x:v>
      </x:c>
      <x:c r="N69" s="4" t="n">
        <x:f>N32/N10*'Assumptions'!D49</x:f>
        <x:v>7087.5</x:v>
      </x:c>
      <x:c r="O69" s="4" t="n">
        <x:f>O32/O10*'Assumptions'!D49</x:f>
        <x:v>7087.5</x:v>
      </x:c>
      <x:c r="P69" s="4" t="n">
        <x:f>P32/P10*'Assumptions'!E49</x:f>
        <x:v>7300.125</x:v>
      </x:c>
      <x:c r="Q69" s="4" t="n">
        <x:f>Q32/Q10*'Assumptions'!E49</x:f>
        <x:v>7300.125</x:v>
      </x:c>
      <x:c r="R69" s="4" t="n">
        <x:f>R32/R10*'Assumptions'!E49</x:f>
        <x:v>7300.125</x:v>
      </x:c>
      <x:c r="S69" s="4" t="n">
        <x:f>S32/S10*'Assumptions'!E49</x:f>
        <x:v>7300.125</x:v>
      </x:c>
      <x:c r="T69" s="4" t="n">
        <x:f>T32/T10*'Assumptions'!E49</x:f>
        <x:v>7300.125</x:v>
      </x:c>
      <x:c r="U69" s="4" t="n">
        <x:f>U32/U10*'Assumptions'!E49</x:f>
        <x:v>7300.125</x:v>
      </x:c>
      <x:c r="V69" s="4" t="n">
        <x:f>V32/V10*'Assumptions'!E49</x:f>
        <x:v>7300.125</x:v>
      </x:c>
      <x:c r="W69" s="4" t="n">
        <x:f>W32/W10*'Assumptions'!E49</x:f>
        <x:v>7300.125</x:v>
      </x:c>
      <x:c r="X69" s="4" t="n">
        <x:f>X32/X10*'Assumptions'!E49</x:f>
        <x:v>7300.125</x:v>
      </x:c>
      <x:c r="Y69" s="4" t="n">
        <x:f>Y32/Y10*'Assumptions'!E49</x:f>
        <x:v>7300.125</x:v>
      </x:c>
      <x:c r="Z69" s="4" t="n">
        <x:f>Z32/Z10*'Assumptions'!E49</x:f>
        <x:v>7300.125</x:v>
      </x:c>
      <x:c r="AA69" s="4" t="n">
        <x:f>AA32/AA10*'Assumptions'!E49</x:f>
        <x:v>7300.125</x:v>
      </x:c>
      <x:c r="AB69" s="4" t="n">
        <x:f>AB32/AB10*'Assumptions'!F49</x:f>
        <x:v>7519.128749999999</x:v>
      </x:c>
      <x:c r="AC69" s="4" t="n">
        <x:f>AC32/AC10*'Assumptions'!F49</x:f>
        <x:v>7519.128749999999</x:v>
      </x:c>
      <x:c r="AD69" s="4" t="n">
        <x:f>AD32/AD10*'Assumptions'!F49</x:f>
        <x:v>7519.128749999999</x:v>
      </x:c>
      <x:c r="AE69" s="4" t="n">
        <x:f>AE32/AE10*'Assumptions'!F49</x:f>
        <x:v>7519.128749999999</x:v>
      </x:c>
      <x:c r="AF69" s="4" t="n">
        <x:f>AF32/AF10*'Assumptions'!F49</x:f>
        <x:v>7519.128749999999</x:v>
      </x:c>
      <x:c r="AG69" s="4" t="n">
        <x:f>AG32/AG10*'Assumptions'!F49</x:f>
        <x:v>7519.128749999999</x:v>
      </x:c>
      <x:c r="AH69" s="4" t="n">
        <x:f>AH32/AH10*'Assumptions'!F49</x:f>
        <x:v>7519.128749999999</x:v>
      </x:c>
      <x:c r="AI69" s="4" t="n">
        <x:f>AI32/AI10*'Assumptions'!F49</x:f>
        <x:v>7519.128749999999</x:v>
      </x:c>
      <x:c r="AJ69" s="4" t="n">
        <x:f>AJ32/AJ10*'Assumptions'!F49</x:f>
        <x:v>7519.128749999999</x:v>
      </x:c>
      <x:c r="AK69" s="4" t="n">
        <x:f>AK32/AK10*'Assumptions'!F49</x:f>
        <x:v>7519.128749999999</x:v>
      </x:c>
      <x:c r="AL69" s="4" t="n">
        <x:f>AL32/AL10*'Assumptions'!F49</x:f>
        <x:v>7519.128749999999</x:v>
      </x:c>
      <x:c r="AM69" s="4" t="n">
        <x:f>AM32/AM10*'Assumptions'!F49</x:f>
        <x:v>7519.128749999999</x:v>
      </x:c>
      <x:c r="AN69" s="2"/>
    </x:row>
    <x:row r="70" ht="21" customHeight="1">
      <x:c r="A70" s="1"/>
      <x:c r="B70" s="1"/>
      <x:c r="C70" s="1" t="str">
        <x:v>Net operating working capital</x:v>
      </x:c>
      <x:c r="D70" s="9" t="n">
        <x:f>SUM(D67:D68)-D69</x:f>
        <x:v>19453.25</x:v>
      </x:c>
      <x:c r="E70" s="9" t="n">
        <x:f>SUM(E67:E68)-E69</x:f>
        <x:v>19343.9</x:v>
      </x:c>
      <x:c r="F70" s="9" t="n">
        <x:f>SUM(F67:F68)-F69</x:f>
        <x:v>19234.55</x:v>
      </x:c>
      <x:c r="G70" s="9" t="n">
        <x:f>SUM(G67:G68)-G69</x:f>
        <x:v>19179.875</x:v>
      </x:c>
      <x:c r="H70" s="9" t="n">
        <x:f>SUM(H67:H68)-H69</x:f>
        <x:v>19125.2</x:v>
      </x:c>
      <x:c r="I70" s="9" t="n">
        <x:f>SUM(I67:I68)-I69</x:f>
        <x:v>19070.525</x:v>
      </x:c>
      <x:c r="J70" s="9" t="n">
        <x:f>SUM(J67:J68)-J69</x:f>
        <x:v>19015.85</x:v>
      </x:c>
      <x:c r="K70" s="9" t="n">
        <x:f>SUM(K67:K68)-K69</x:f>
        <x:v>19160.55</x:v>
      </x:c>
      <x:c r="L70" s="9" t="n">
        <x:f>SUM(L67:L68)-L69</x:f>
        <x:v>20169</x:v>
      </x:c>
      <x:c r="M70" s="9" t="n">
        <x:f>SUM(M67:M68)-M69</x:f>
        <x:v>20169</x:v>
      </x:c>
      <x:c r="N70" s="9" t="n">
        <x:f>SUM(N67:N68)-N69</x:f>
        <x:v>20169</x:v>
      </x:c>
      <x:c r="O70" s="9" t="n">
        <x:f>SUM(O67:O68)-O69</x:f>
        <x:v>20169</x:v>
      </x:c>
      <x:c r="P70" s="9" t="n">
        <x:f>SUM(P67:P68)-P69</x:f>
        <x:v>20774.07</x:v>
      </x:c>
      <x:c r="Q70" s="9" t="n">
        <x:f>SUM(Q67:Q68)-Q69</x:f>
        <x:v>20774.07</x:v>
      </x:c>
      <x:c r="R70" s="9" t="n">
        <x:f>SUM(R67:R68)-R69</x:f>
        <x:v>20774.07</x:v>
      </x:c>
      <x:c r="S70" s="9" t="n">
        <x:f>SUM(S67:S68)-S69</x:f>
        <x:v>20774.07</x:v>
      </x:c>
      <x:c r="T70" s="9" t="n">
        <x:f>SUM(T67:T68)-T69</x:f>
        <x:v>20774.07</x:v>
      </x:c>
      <x:c r="U70" s="9" t="n">
        <x:f>SUM(U67:U68)-U69</x:f>
        <x:v>20774.07</x:v>
      </x:c>
      <x:c r="V70" s="9" t="n">
        <x:f>SUM(V67:V68)-V69</x:f>
        <x:v>20774.07</x:v>
      </x:c>
      <x:c r="W70" s="9" t="n">
        <x:f>SUM(W67:W68)-W69</x:f>
        <x:v>20774.07</x:v>
      </x:c>
      <x:c r="X70" s="9" t="n">
        <x:f>SUM(X67:X68)-X69</x:f>
        <x:v>20774.07</x:v>
      </x:c>
      <x:c r="Y70" s="9" t="n">
        <x:f>SUM(Y67:Y68)-Y69</x:f>
        <x:v>20774.07</x:v>
      </x:c>
      <x:c r="Z70" s="9" t="n">
        <x:f>SUM(Z67:Z68)-Z69</x:f>
        <x:v>20774.07</x:v>
      </x:c>
      <x:c r="AA70" s="9" t="n">
        <x:f>SUM(AA67:AA68)-AA69</x:f>
        <x:v>20774.07</x:v>
      </x:c>
      <x:c r="AB70" s="9" t="n">
        <x:f>SUM(AB67:AB68)-AB69</x:f>
        <x:v>21397.292099999995</x:v>
      </x:c>
      <x:c r="AC70" s="9" t="n">
        <x:f>SUM(AC67:AC68)-AC69</x:f>
        <x:v>21397.292099999995</x:v>
      </x:c>
      <x:c r="AD70" s="9" t="n">
        <x:f>SUM(AD67:AD68)-AD69</x:f>
        <x:v>21397.292099999995</x:v>
      </x:c>
      <x:c r="AE70" s="9" t="n">
        <x:f>SUM(AE67:AE68)-AE69</x:f>
        <x:v>21397.292099999995</x:v>
      </x:c>
      <x:c r="AF70" s="9" t="n">
        <x:f>SUM(AF67:AF68)-AF69</x:f>
        <x:v>21397.292099999995</x:v>
      </x:c>
      <x:c r="AG70" s="9" t="n">
        <x:f>SUM(AG67:AG68)-AG69</x:f>
        <x:v>21397.292099999995</x:v>
      </x:c>
      <x:c r="AH70" s="9" t="n">
        <x:f>SUM(AH67:AH68)-AH69</x:f>
        <x:v>21397.292099999995</x:v>
      </x:c>
      <x:c r="AI70" s="9" t="n">
        <x:f>SUM(AI67:AI68)-AI69</x:f>
        <x:v>21397.292099999995</x:v>
      </x:c>
      <x:c r="AJ70" s="9" t="n">
        <x:f>SUM(AJ67:AJ68)-AJ69</x:f>
        <x:v>21397.292099999995</x:v>
      </x:c>
      <x:c r="AK70" s="9" t="n">
        <x:f>SUM(AK67:AK68)-AK69</x:f>
        <x:v>21397.292099999995</x:v>
      </x:c>
      <x:c r="AL70" s="9" t="n">
        <x:f>SUM(AL67:AL68)-AL69</x:f>
        <x:v>21397.292099999995</x:v>
      </x:c>
      <x:c r="AM70" s="9" t="n">
        <x:f>SUM(AM67:AM68)-AM69</x:f>
        <x:v>21397.292099999995</x:v>
      </x:c>
      <x:c r="AN70" s="2"/>
    </x:row>
    <x:row r="71" ht="21" customHeight="1">
      <x:c r="A71" s="1"/>
      <x:c r="B71" s="1"/>
      <x:c r="C71" s="1" t="str">
        <x:v>Working-capital increase</x:v>
      </x:c>
      <x:c r="D71" s="4" t="n">
        <x:f>D70-'Opening'!$E$21</x:f>
        <x:v>-546.75</x:v>
      </x:c>
      <x:c r="E71" s="9" t="n">
        <x:f>E70-D70</x:f>
        <x:v>-109.34999999999854</x:v>
      </x:c>
      <x:c r="F71" s="9" t="n">
        <x:f>F70-E70</x:f>
        <x:v>-109.35000000000218</x:v>
      </x:c>
      <x:c r="G71" s="9" t="n">
        <x:f>G70-F70</x:f>
        <x:v>-54.67499999999927</x:v>
      </x:c>
      <x:c r="H71" s="9" t="n">
        <x:f>H70-G70</x:f>
        <x:v>-54.67499999999927</x:v>
      </x:c>
      <x:c r="I71" s="9" t="n">
        <x:f>I70-H70</x:f>
        <x:v>-54.67499999999927</x:v>
      </x:c>
      <x:c r="J71" s="9" t="n">
        <x:f>J70-I70</x:f>
        <x:v>-54.67500000000291</x:v>
      </x:c>
      <x:c r="K71" s="9" t="n">
        <x:f>K70-J70</x:f>
        <x:v>144.70000000000073</x:v>
      </x:c>
      <x:c r="L71" s="9" t="n">
        <x:f>L70-K70</x:f>
        <x:v>1008.4500000000007</x:v>
      </x:c>
      <x:c r="M71" s="9" t="n">
        <x:f>M70-L70</x:f>
        <x:v>0</x:v>
      </x:c>
      <x:c r="N71" s="9" t="n">
        <x:f>N70-M70</x:f>
        <x:v>0</x:v>
      </x:c>
      <x:c r="O71" s="9" t="n">
        <x:f>O70-N70</x:f>
        <x:v>0</x:v>
      </x:c>
      <x:c r="P71" s="9" t="n">
        <x:f>P70-O70</x:f>
        <x:v>605.0699999999997</x:v>
      </x:c>
      <x:c r="Q71" s="9" t="n">
        <x:f>Q70-P70</x:f>
        <x:v>0</x:v>
      </x:c>
      <x:c r="R71" s="9" t="n">
        <x:f>R70-Q70</x:f>
        <x:v>0</x:v>
      </x:c>
      <x:c r="S71" s="9" t="n">
        <x:f>S70-R70</x:f>
        <x:v>0</x:v>
      </x:c>
      <x:c r="T71" s="9" t="n">
        <x:f>T70-S70</x:f>
        <x:v>0</x:v>
      </x:c>
      <x:c r="U71" s="9" t="n">
        <x:f>U70-T70</x:f>
        <x:v>0</x:v>
      </x:c>
      <x:c r="V71" s="9" t="n">
        <x:f>V70-U70</x:f>
        <x:v>0</x:v>
      </x:c>
      <x:c r="W71" s="9" t="n">
        <x:f>W70-V70</x:f>
        <x:v>0</x:v>
      </x:c>
      <x:c r="X71" s="9" t="n">
        <x:f>X70-W70</x:f>
        <x:v>0</x:v>
      </x:c>
      <x:c r="Y71" s="9" t="n">
        <x:f>Y70-X70</x:f>
        <x:v>0</x:v>
      </x:c>
      <x:c r="Z71" s="9" t="n">
        <x:f>Z70-Y70</x:f>
        <x:v>0</x:v>
      </x:c>
      <x:c r="AA71" s="9" t="n">
        <x:f>AA70-Z70</x:f>
        <x:v>0</x:v>
      </x:c>
      <x:c r="AB71" s="9" t="n">
        <x:f>AB70-AA70</x:f>
        <x:v>623.2220999999954</x:v>
      </x:c>
      <x:c r="AC71" s="9" t="n">
        <x:f>AC70-AB70</x:f>
        <x:v>0</x:v>
      </x:c>
      <x:c r="AD71" s="9" t="n">
        <x:f>AD70-AC70</x:f>
        <x:v>0</x:v>
      </x:c>
      <x:c r="AE71" s="9" t="n">
        <x:f>AE70-AD70</x:f>
        <x:v>0</x:v>
      </x:c>
      <x:c r="AF71" s="9" t="n">
        <x:f>AF70-AE70</x:f>
        <x:v>0</x:v>
      </x:c>
      <x:c r="AG71" s="9" t="n">
        <x:f>AG70-AF70</x:f>
        <x:v>0</x:v>
      </x:c>
      <x:c r="AH71" s="9" t="n">
        <x:f>AH70-AG70</x:f>
        <x:v>0</x:v>
      </x:c>
      <x:c r="AI71" s="9" t="n">
        <x:f>AI70-AH70</x:f>
        <x:v>0</x:v>
      </x:c>
      <x:c r="AJ71" s="9" t="n">
        <x:f>AJ70-AI70</x:f>
        <x:v>0</x:v>
      </x:c>
      <x:c r="AK71" s="9" t="n">
        <x:f>AK70-AJ70</x:f>
        <x:v>0</x:v>
      </x:c>
      <x:c r="AL71" s="9" t="n">
        <x:f>AL70-AK70</x:f>
        <x:v>0</x:v>
      </x:c>
      <x:c r="AM71" s="9" t="n">
        <x:f>AM70-AL70</x:f>
        <x:v>0</x:v>
      </x:c>
      <x:c r="AN71" s="2"/>
    </x:row>
    <x:row r="72" ht="21" customHeight="1">
      <x:c r="A72" s="1"/>
      <x:c r="B72" s="1"/>
      <x:c r="C72" s="1" t="str">
        <x:v>Operating cash after planning tax</x:v>
      </x:c>
      <x:c r="D72" s="9" t="n">
        <x:f>D65+D62-D71</x:f>
        <x:v>-31537.86332916667</x:v>
      </x:c>
      <x:c r="E72" s="9" t="n">
        <x:f>E65+E62-E71</x:f>
        <x:v>-25749.67616166667</x:v>
      </x:c>
      <x:c r="F72" s="9" t="n">
        <x:f>F65+F62-F71</x:f>
        <x:v>-19524.088994166665</x:v>
      </x:c>
      <x:c r="G72" s="9" t="n">
        <x:f>G65+G62-G71</x:f>
        <x:v>-16465.97041041667</x:v>
      </x:c>
      <x:c r="H72" s="9" t="n">
        <x:f>H65+H62-H71</x:f>
        <x:v>-13353.176826666673</x:v>
      </x:c>
      <x:c r="I72" s="9" t="n">
        <x:f>I65+I62-I71</x:f>
        <x:v>-10240.383242916676</x:v>
      </x:c>
      <x:c r="J72" s="9" t="n">
        <x:f>J65+J62-J71</x:f>
        <x:v>-7127.589659166672</x:v>
      </x:c>
      <x:c r="K72" s="9" t="n">
        <x:f>K65+K62-K71</x:f>
        <x:v>-4214.171075416667</x:v>
      </x:c>
      <x:c r="L72" s="9" t="n">
        <x:f>L65+L62-L71</x:f>
        <x:v>-1965.1274916666734</x:v>
      </x:c>
      <x:c r="M72" s="9" t="n">
        <x:f>M65+M62-M71</x:f>
        <x:v>-956.6774916666727</x:v>
      </x:c>
      <x:c r="N72" s="9" t="n">
        <x:f>N65+N62-N71</x:f>
        <x:v>-956.6774916666727</x:v>
      </x:c>
      <x:c r="O72" s="9" t="n">
        <x:f>O65+O62-O71</x:f>
        <x:v>-956.6774916666727</x:v>
      </x:c>
      <x:c r="P72" s="9" t="n">
        <x:f>P65+P62-P71</x:f>
        <x:v>-1726.2778164166557</x:v>
      </x:c>
      <x:c r="Q72" s="9" t="n">
        <x:f>Q65+Q62-Q71</x:f>
        <x:v>-1121.207816416656</x:v>
      </x:c>
      <x:c r="R72" s="9" t="n">
        <x:f>R65+R62-R71</x:f>
        <x:v>-1121.207816416656</x:v>
      </x:c>
      <x:c r="S72" s="9" t="n">
        <x:f>S65+S62-S71</x:f>
        <x:v>-1121.207816416656</x:v>
      </x:c>
      <x:c r="T72" s="9" t="n">
        <x:f>T65+T62-T71</x:f>
        <x:v>-1121.207816416656</x:v>
      </x:c>
      <x:c r="U72" s="9" t="n">
        <x:f>U65+U62-U71</x:f>
        <x:v>-1121.207816416656</x:v>
      </x:c>
      <x:c r="V72" s="9" t="n">
        <x:f>V65+V62-V71</x:f>
        <x:v>-1121.207816416656</x:v>
      </x:c>
      <x:c r="W72" s="9" t="n">
        <x:f>W65+W62-W71</x:f>
        <x:v>-1121.207816416656</x:v>
      </x:c>
      <x:c r="X72" s="9" t="n">
        <x:f>X65+X62-X71</x:f>
        <x:v>-1121.207816416656</x:v>
      </x:c>
      <x:c r="Y72" s="9" t="n">
        <x:f>Y65+Y62-Y71</x:f>
        <x:v>-1121.207816416656</x:v>
      </x:c>
      <x:c r="Z72" s="9" t="n">
        <x:f>Z65+Z62-Z71</x:f>
        <x:v>-1121.207816416656</x:v>
      </x:c>
      <x:c r="AA72" s="9" t="n">
        <x:f>AA65+AA62-AA71</x:f>
        <x:v>-1121.207816416656</x:v>
      </x:c>
      <x:c r="AB72" s="9" t="n">
        <x:f>AB65+AB62-AB71</x:f>
        <x:v>-1923.3581509091528</x:v>
      </x:c>
      <x:c r="AC72" s="9" t="n">
        <x:f>AC65+AC62-AC71</x:f>
        <x:v>-1300.1360509091573</x:v>
      </x:c>
      <x:c r="AD72" s="9" t="n">
        <x:f>AD65+AD62-AD71</x:f>
        <x:v>-1300.1360509091573</x:v>
      </x:c>
      <x:c r="AE72" s="9" t="n">
        <x:f>AE65+AE62-AE71</x:f>
        <x:v>-1300.1360509091573</x:v>
      </x:c>
      <x:c r="AF72" s="9" t="n">
        <x:f>AF65+AF62-AF71</x:f>
        <x:v>-1300.1360509091573</x:v>
      </x:c>
      <x:c r="AG72" s="9" t="n">
        <x:f>AG65+AG62-AG71</x:f>
        <x:v>-1300.1360509091573</x:v>
      </x:c>
      <x:c r="AH72" s="9" t="n">
        <x:f>AH65+AH62-AH71</x:f>
        <x:v>-1300.1360509091573</x:v>
      </x:c>
      <x:c r="AI72" s="9" t="n">
        <x:f>AI65+AI62-AI71</x:f>
        <x:v>-1300.1360509091573</x:v>
      </x:c>
      <x:c r="AJ72" s="9" t="n">
        <x:f>AJ65+AJ62-AJ71</x:f>
        <x:v>-1300.1360509091573</x:v>
      </x:c>
      <x:c r="AK72" s="9" t="n">
        <x:f>AK65+AK62-AK71</x:f>
        <x:v>-1300.1360509091573</x:v>
      </x:c>
      <x:c r="AL72" s="9" t="n">
        <x:f>AL65+AL62-AL71</x:f>
        <x:v>-1300.1360509091573</x:v>
      </x:c>
      <x:c r="AM72" s="9" t="n">
        <x:f>AM65+AM62-AM71</x:f>
        <x:v>-1300.1360509091573</x:v>
      </x:c>
      <x:c r="AN72" s="2"/>
    </x:row>
    <x:row r="73" ht="21" customHeight="1">
      <x:c r="A73" s="1"/>
      <x:c r="B73" s="1"/>
      <x:c r="C73" s="1" t="str">
        <x:v>Free cash flow</x:v>
      </x:c>
      <x:c r="D73" s="9" t="n">
        <x:f>D72-D59</x:f>
        <x:v>-32037.36332916667</x:v>
      </x:c>
      <x:c r="E73" s="9" t="n">
        <x:f>E72-E59</x:f>
        <x:v>-26349.07616166667</x:v>
      </x:c>
      <x:c r="F73" s="9" t="n">
        <x:f>F72-F59</x:f>
        <x:v>-20223.388994166664</x:v>
      </x:c>
      <x:c r="G73" s="9" t="n">
        <x:f>G72-G59</x:f>
        <x:v>-17215.22041041667</x:v>
      </x:c>
      <x:c r="H73" s="9" t="n">
        <x:f>H72-H59</x:f>
        <x:v>-14152.376826666674</x:v>
      </x:c>
      <x:c r="I73" s="9" t="n">
        <x:f>I72-I59</x:f>
        <x:v>-11089.533242916676</x:v>
      </x:c>
      <x:c r="J73" s="9" t="n">
        <x:f>J72-J59</x:f>
        <x:v>-8026.689659166673</x:v>
      </x:c>
      <x:c r="K73" s="9" t="n">
        <x:f>K72-K59</x:f>
        <x:v>-5163.221075416667</x:v>
      </x:c>
      <x:c r="L73" s="9" t="n">
        <x:f>L72-L59</x:f>
        <x:v>-2964.1274916666734</x:v>
      </x:c>
      <x:c r="M73" s="9" t="n">
        <x:f>M72-M59</x:f>
        <x:v>-1955.6774916666727</x:v>
      </x:c>
      <x:c r="N73" s="9" t="n">
        <x:f>N72-N59</x:f>
        <x:v>-1955.6774916666727</x:v>
      </x:c>
      <x:c r="O73" s="9" t="n">
        <x:f>O72-O59</x:f>
        <x:v>-1955.6774916666727</x:v>
      </x:c>
      <x:c r="P73" s="9" t="n">
        <x:f>P72-P59</x:f>
        <x:v>-2755.247816416656</x:v>
      </x:c>
      <x:c r="Q73" s="9" t="n">
        <x:f>Q72-Q59</x:f>
        <x:v>-2150.1778164166562</x:v>
      </x:c>
      <x:c r="R73" s="9" t="n">
        <x:f>R72-R59</x:f>
        <x:v>-2150.1778164166562</x:v>
      </x:c>
      <x:c r="S73" s="9" t="n">
        <x:f>S72-S59</x:f>
        <x:v>-2150.1778164166562</x:v>
      </x:c>
      <x:c r="T73" s="9" t="n">
        <x:f>T72-T59</x:f>
        <x:v>-2150.1778164166562</x:v>
      </x:c>
      <x:c r="U73" s="9" t="n">
        <x:f>U72-U59</x:f>
        <x:v>-2150.1778164166562</x:v>
      </x:c>
      <x:c r="V73" s="9" t="n">
        <x:f>V72-V59</x:f>
        <x:v>-2150.1778164166562</x:v>
      </x:c>
      <x:c r="W73" s="9" t="n">
        <x:f>W72-W59</x:f>
        <x:v>-2150.1778164166562</x:v>
      </x:c>
      <x:c r="X73" s="9" t="n">
        <x:f>X72-X59</x:f>
        <x:v>-2150.1778164166562</x:v>
      </x:c>
      <x:c r="Y73" s="9" t="n">
        <x:f>Y72-Y59</x:f>
        <x:v>-2150.1778164166562</x:v>
      </x:c>
      <x:c r="Z73" s="9" t="n">
        <x:f>Z72-Z59</x:f>
        <x:v>-2150.1778164166562</x:v>
      </x:c>
      <x:c r="AA73" s="9" t="n">
        <x:f>AA72-AA59</x:f>
        <x:v>-2150.1778164166562</x:v>
      </x:c>
      <x:c r="AB73" s="9" t="n">
        <x:f>AB72-AB59</x:f>
        <x:v>-2983.197250909153</x:v>
      </x:c>
      <x:c r="AC73" s="9" t="n">
        <x:f>AC72-AC59</x:f>
        <x:v>-2359.9751509091575</x:v>
      </x:c>
      <x:c r="AD73" s="9" t="n">
        <x:f>AD72-AD59</x:f>
        <x:v>-2359.9751509091575</x:v>
      </x:c>
      <x:c r="AE73" s="9" t="n">
        <x:f>AE72-AE59</x:f>
        <x:v>-2359.9751509091575</x:v>
      </x:c>
      <x:c r="AF73" s="9" t="n">
        <x:f>AF72-AF59</x:f>
        <x:v>-2359.9751509091575</x:v>
      </x:c>
      <x:c r="AG73" s="9" t="n">
        <x:f>AG72-AG59</x:f>
        <x:v>-2359.9751509091575</x:v>
      </x:c>
      <x:c r="AH73" s="9" t="n">
        <x:f>AH72-AH59</x:f>
        <x:v>-2359.9751509091575</x:v>
      </x:c>
      <x:c r="AI73" s="9" t="n">
        <x:f>AI72-AI59</x:f>
        <x:v>-2359.9751509091575</x:v>
      </x:c>
      <x:c r="AJ73" s="9" t="n">
        <x:f>AJ72-AJ59</x:f>
        <x:v>-2359.9751509091575</x:v>
      </x:c>
      <x:c r="AK73" s="9" t="n">
        <x:f>AK72-AK59</x:f>
        <x:v>-2359.9751509091575</x:v>
      </x:c>
      <x:c r="AL73" s="9" t="n">
        <x:f>AL72-AL59</x:f>
        <x:v>-2359.9751509091575</x:v>
      </x:c>
      <x:c r="AM73" s="9" t="n">
        <x:f>AM72-AM59</x:f>
        <x:v>-2359.9751509091575</x:v>
      </x:c>
      <x:c r="AN73" s="2"/>
    </x:row>
    <x:row r="74" ht="21" customHeight="1">
      <x:c r="A74" s="1"/>
      <x:c r="B74" s="1"/>
      <x:c r="C74" s="1" t="str">
        <x:v>Opening cash</x:v>
      </x:c>
      <x:c r="D74" s="4" t="n">
        <x:f>'Opening'!$E$24</x:f>
        <x:v>422000</x:v>
      </x:c>
      <x:c r="E74" s="9" t="n">
        <x:f>D75</x:f>
        <x:v>389962.63667083334</x:v>
      </x:c>
      <x:c r="F74" s="9" t="n">
        <x:f>E75</x:f>
        <x:v>363613.5605091667</x:v>
      </x:c>
      <x:c r="G74" s="9" t="n">
        <x:f>F75</x:f>
        <x:v>343390.171515</x:v>
      </x:c>
      <x:c r="H74" s="9" t="n">
        <x:f>G75</x:f>
        <x:v>326174.95110458334</x:v>
      </x:c>
      <x:c r="I74" s="9" t="n">
        <x:f>H75</x:f>
        <x:v>312022.5742779167</x:v>
      </x:c>
      <x:c r="J74" s="9" t="n">
        <x:f>I75</x:f>
        <x:v>300933.041035</x:v>
      </x:c>
      <x:c r="K74" s="9" t="n">
        <x:f>J75</x:f>
        <x:v>292906.3513758333</x:v>
      </x:c>
      <x:c r="L74" s="9" t="n">
        <x:f>K75</x:f>
        <x:v>287743.13030041667</x:v>
      </x:c>
      <x:c r="M74" s="9" t="n">
        <x:f>L75</x:f>
        <x:v>284779.00280875</x:v>
      </x:c>
      <x:c r="N74" s="9" t="n">
        <x:f>M75</x:f>
        <x:v>282823.32531708333</x:v>
      </x:c>
      <x:c r="O74" s="9" t="n">
        <x:f>N75</x:f>
        <x:v>280867.64782541664</x:v>
      </x:c>
      <x:c r="P74" s="9" t="n">
        <x:f>O75</x:f>
        <x:v>278911.97033374995</x:v>
      </x:c>
      <x:c r="Q74" s="9" t="n">
        <x:f>P75</x:f>
        <x:v>276156.7225173333</x:v>
      </x:c>
      <x:c r="R74" s="9" t="n">
        <x:f>Q75</x:f>
        <x:v>274006.5447009166</x:v>
      </x:c>
      <x:c r="S74" s="9" t="n">
        <x:f>R75</x:f>
        <x:v>271856.36688449996</x:v>
      </x:c>
      <x:c r="T74" s="9" t="n">
        <x:f>S75</x:f>
        <x:v>269706.1890680833</x:v>
      </x:c>
      <x:c r="U74" s="9" t="n">
        <x:f>T75</x:f>
        <x:v>267556.01125166664</x:v>
      </x:c>
      <x:c r="V74" s="9" t="n">
        <x:f>U75</x:f>
        <x:v>265405.83343525</x:v>
      </x:c>
      <x:c r="W74" s="9" t="n">
        <x:f>V75</x:f>
        <x:v>263255.6556188333</x:v>
      </x:c>
      <x:c r="X74" s="9" t="n">
        <x:f>W75</x:f>
        <x:v>261105.47780241666</x:v>
      </x:c>
      <x:c r="Y74" s="9" t="n">
        <x:f>X75</x:f>
        <x:v>258955.299986</x:v>
      </x:c>
      <x:c r="Z74" s="9" t="n">
        <x:f>Y75</x:f>
        <x:v>256805.12216958334</x:v>
      </x:c>
      <x:c r="AA74" s="9" t="n">
        <x:f>Z75</x:f>
        <x:v>254654.94435316668</x:v>
      </x:c>
      <x:c r="AB74" s="9" t="n">
        <x:f>AA75</x:f>
        <x:v>252504.76653675002</x:v>
      </x:c>
      <x:c r="AC74" s="9" t="n">
        <x:f>AB75</x:f>
        <x:v>249521.56928584087</x:v>
      </x:c>
      <x:c r="AD74" s="9" t="n">
        <x:f>AC75</x:f>
        <x:v>247161.5941349317</x:v>
      </x:c>
      <x:c r="AE74" s="9" t="n">
        <x:f>AD75</x:f>
        <x:v>244801.61898402256</x:v>
      </x:c>
      <x:c r="AF74" s="9" t="n">
        <x:f>AE75</x:f>
        <x:v>242441.6438331134</x:v>
      </x:c>
      <x:c r="AG74" s="9" t="n">
        <x:f>AF75</x:f>
        <x:v>240081.66868220424</x:v>
      </x:c>
      <x:c r="AH74" s="9" t="n">
        <x:f>AG75</x:f>
        <x:v>237721.69353129508</x:v>
      </x:c>
      <x:c r="AI74" s="9" t="n">
        <x:f>AH75</x:f>
        <x:v>235361.71838038592</x:v>
      </x:c>
      <x:c r="AJ74" s="9" t="n">
        <x:f>AI75</x:f>
        <x:v>233001.74322947676</x:v>
      </x:c>
      <x:c r="AK74" s="9" t="n">
        <x:f>AJ75</x:f>
        <x:v>230641.7680785676</x:v>
      </x:c>
      <x:c r="AL74" s="9" t="n">
        <x:f>AK75</x:f>
        <x:v>228281.79292765845</x:v>
      </x:c>
      <x:c r="AM74" s="9" t="n">
        <x:f>AL75</x:f>
        <x:v>225921.8177767493</x:v>
      </x:c>
      <x:c r="AN74" s="2"/>
    </x:row>
    <x:row r="75" ht="21" customHeight="1">
      <x:c r="A75" s="1"/>
      <x:c r="B75" s="1"/>
      <x:c r="C75" s="10" t="str">
        <x:v>Closing unrestricted cash</x:v>
      </x:c>
      <x:c r="D75" s="11" t="n">
        <x:f>D74+D73</x:f>
        <x:v>389962.63667083334</x:v>
      </x:c>
      <x:c r="E75" s="11" t="n">
        <x:f>E74+E73</x:f>
        <x:v>363613.5605091667</x:v>
      </x:c>
      <x:c r="F75" s="11" t="n">
        <x:f>F74+F73</x:f>
        <x:v>343390.171515</x:v>
      </x:c>
      <x:c r="G75" s="11" t="n">
        <x:f>G74+G73</x:f>
        <x:v>326174.95110458334</x:v>
      </x:c>
      <x:c r="H75" s="11" t="n">
        <x:f>H74+H73</x:f>
        <x:v>312022.5742779167</x:v>
      </x:c>
      <x:c r="I75" s="11" t="n">
        <x:f>I74+I73</x:f>
        <x:v>300933.041035</x:v>
      </x:c>
      <x:c r="J75" s="11" t="n">
        <x:f>J74+J73</x:f>
        <x:v>292906.3513758333</x:v>
      </x:c>
      <x:c r="K75" s="11" t="n">
        <x:f>K74+K73</x:f>
        <x:v>287743.13030041667</x:v>
      </x:c>
      <x:c r="L75" s="11" t="n">
        <x:f>L74+L73</x:f>
        <x:v>284779.00280875</x:v>
      </x:c>
      <x:c r="M75" s="11" t="n">
        <x:f>M74+M73</x:f>
        <x:v>282823.32531708333</x:v>
      </x:c>
      <x:c r="N75" s="11" t="n">
        <x:f>N74+N73</x:f>
        <x:v>280867.64782541664</x:v>
      </x:c>
      <x:c r="O75" s="11" t="n">
        <x:f>O74+O73</x:f>
        <x:v>278911.97033374995</x:v>
      </x:c>
      <x:c r="P75" s="11" t="n">
        <x:f>P74+P73</x:f>
        <x:v>276156.7225173333</x:v>
      </x:c>
      <x:c r="Q75" s="11" t="n">
        <x:f>Q74+Q73</x:f>
        <x:v>274006.5447009166</x:v>
      </x:c>
      <x:c r="R75" s="11" t="n">
        <x:f>R74+R73</x:f>
        <x:v>271856.36688449996</x:v>
      </x:c>
      <x:c r="S75" s="11" t="n">
        <x:f>S74+S73</x:f>
        <x:v>269706.1890680833</x:v>
      </x:c>
      <x:c r="T75" s="11" t="n">
        <x:f>T74+T73</x:f>
        <x:v>267556.01125166664</x:v>
      </x:c>
      <x:c r="U75" s="11" t="n">
        <x:f>U74+U73</x:f>
        <x:v>265405.83343525</x:v>
      </x:c>
      <x:c r="V75" s="11" t="n">
        <x:f>V74+V73</x:f>
        <x:v>263255.6556188333</x:v>
      </x:c>
      <x:c r="W75" s="11" t="n">
        <x:f>W74+W73</x:f>
        <x:v>261105.47780241666</x:v>
      </x:c>
      <x:c r="X75" s="11" t="n">
        <x:f>X74+X73</x:f>
        <x:v>258955.299986</x:v>
      </x:c>
      <x:c r="Y75" s="11" t="n">
        <x:f>Y74+Y73</x:f>
        <x:v>256805.12216958334</x:v>
      </x:c>
      <x:c r="Z75" s="11" t="n">
        <x:f>Z74+Z73</x:f>
        <x:v>254654.94435316668</x:v>
      </x:c>
      <x:c r="AA75" s="11" t="n">
        <x:f>AA74+AA73</x:f>
        <x:v>252504.76653675002</x:v>
      </x:c>
      <x:c r="AB75" s="11" t="n">
        <x:f>AB74+AB73</x:f>
        <x:v>249521.56928584087</x:v>
      </x:c>
      <x:c r="AC75" s="11" t="n">
        <x:f>AC74+AC73</x:f>
        <x:v>247161.5941349317</x:v>
      </x:c>
      <x:c r="AD75" s="11" t="n">
        <x:f>AD74+AD73</x:f>
        <x:v>244801.61898402256</x:v>
      </x:c>
      <x:c r="AE75" s="11" t="n">
        <x:f>AE74+AE73</x:f>
        <x:v>242441.6438331134</x:v>
      </x:c>
      <x:c r="AF75" s="11" t="n">
        <x:f>AF74+AF73</x:f>
        <x:v>240081.66868220424</x:v>
      </x:c>
      <x:c r="AG75" s="11" t="n">
        <x:f>AG74+AG73</x:f>
        <x:v>237721.69353129508</x:v>
      </x:c>
      <x:c r="AH75" s="11" t="n">
        <x:f>AH74+AH73</x:f>
        <x:v>235361.71838038592</x:v>
      </x:c>
      <x:c r="AI75" s="11" t="n">
        <x:f>AI74+AI73</x:f>
        <x:v>233001.74322947676</x:v>
      </x:c>
      <x:c r="AJ75" s="11" t="n">
        <x:f>AJ74+AJ73</x:f>
        <x:v>230641.7680785676</x:v>
      </x:c>
      <x:c r="AK75" s="11" t="n">
        <x:f>AK74+AK73</x:f>
        <x:v>228281.79292765845</x:v>
      </x:c>
      <x:c r="AL75" s="11" t="n">
        <x:f>AL74+AL73</x:f>
        <x:v>225921.8177767493</x:v>
      </x:c>
      <x:c r="AM75" s="11" t="n">
        <x:f>AM74+AM73</x:f>
        <x:v>223561.84262584013</x:v>
      </x:c>
      <x:c r="AN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1" customHeight="1">
      <x:c r="A77" s="1"/>
      <x:c r="B77" s="1"/>
      <x:c r="C77" s="1" t="str">
        <x:v>Gross capital assets</x:v>
      </x:c>
      <x:c r="D77" s="4" t="n">
        <x:f>'Opening'!$E$18+SUM($D59:D59)</x:f>
        <x:v>480499.5</x:v>
      </x:c>
      <x:c r="E77" s="4" t="n">
        <x:f>'Opening'!$E$18+SUM($D59:E59)</x:f>
        <x:v>481098.9</x:v>
      </x:c>
      <x:c r="F77" s="4" t="n">
        <x:f>'Opening'!$E$18+SUM($D59:F59)</x:f>
        <x:v>481798.2</x:v>
      </x:c>
      <x:c r="G77" s="4" t="n">
        <x:f>'Opening'!$E$18+SUM($D59:G59)</x:f>
        <x:v>482547.45</x:v>
      </x:c>
      <x:c r="H77" s="4" t="n">
        <x:f>'Opening'!$E$18+SUM($D59:H59)</x:f>
        <x:v>483346.65</x:v>
      </x:c>
      <x:c r="I77" s="4" t="n">
        <x:f>'Opening'!$E$18+SUM($D59:I59)</x:f>
        <x:v>484195.8</x:v>
      </x:c>
      <x:c r="J77" s="4" t="n">
        <x:f>'Opening'!$E$18+SUM($D59:J59)</x:f>
        <x:v>485094.9</x:v>
      </x:c>
      <x:c r="K77" s="4" t="n">
        <x:f>'Opening'!$E$18+SUM($D59:K59)</x:f>
        <x:v>486043.95</x:v>
      </x:c>
      <x:c r="L77" s="4" t="n">
        <x:f>'Opening'!$E$18+SUM($D59:L59)</x:f>
        <x:v>487042.95</x:v>
      </x:c>
      <x:c r="M77" s="4" t="n">
        <x:f>'Opening'!$E$18+SUM($D59:M59)</x:f>
        <x:v>488041.95</x:v>
      </x:c>
      <x:c r="N77" s="4" t="n">
        <x:f>'Opening'!$E$18+SUM($D59:N59)</x:f>
        <x:v>489040.95</x:v>
      </x:c>
      <x:c r="O77" s="4" t="n">
        <x:f>'Opening'!$E$18+SUM($D59:O59)</x:f>
        <x:v>490039.95</x:v>
      </x:c>
      <x:c r="P77" s="4" t="n">
        <x:f>'Opening'!$E$18+SUM($D59:P59)</x:f>
        <x:v>491068.92</x:v>
      </x:c>
      <x:c r="Q77" s="4" t="n">
        <x:f>'Opening'!$E$18+SUM($D59:Q59)</x:f>
        <x:v>492097.89</x:v>
      </x:c>
      <x:c r="R77" s="4" t="n">
        <x:f>'Opening'!$E$18+SUM($D59:R59)</x:f>
        <x:v>493126.86</x:v>
      </x:c>
      <x:c r="S77" s="4" t="n">
        <x:f>'Opening'!$E$18+SUM($D59:S59)</x:f>
        <x:v>494155.83</x:v>
      </x:c>
      <x:c r="T77" s="4" t="n">
        <x:f>'Opening'!$E$18+SUM($D59:T59)</x:f>
        <x:v>495184.8</x:v>
      </x:c>
      <x:c r="U77" s="4" t="n">
        <x:f>'Opening'!$E$18+SUM($D59:U59)</x:f>
        <x:v>496213.77</x:v>
      </x:c>
      <x:c r="V77" s="4" t="n">
        <x:f>'Opening'!$E$18+SUM($D59:V59)</x:f>
        <x:v>497242.74</x:v>
      </x:c>
      <x:c r="W77" s="4" t="n">
        <x:f>'Opening'!$E$18+SUM($D59:W59)</x:f>
        <x:v>498271.71</x:v>
      </x:c>
      <x:c r="X77" s="4" t="n">
        <x:f>'Opening'!$E$18+SUM($D59:X59)</x:f>
        <x:v>499300.68</x:v>
      </x:c>
      <x:c r="Y77" s="4" t="n">
        <x:f>'Opening'!$E$18+SUM($D59:Y59)</x:f>
        <x:v>500329.65</x:v>
      </x:c>
      <x:c r="Z77" s="4" t="n">
        <x:f>'Opening'!$E$18+SUM($D59:Z59)</x:f>
        <x:v>501358.62</x:v>
      </x:c>
      <x:c r="AA77" s="4" t="n">
        <x:f>'Opening'!$E$18+SUM($D59:AA59)</x:f>
        <x:v>502387.59</x:v>
      </x:c>
      <x:c r="AB77" s="4" t="n">
        <x:f>'Opening'!$E$18+SUM($D59:AB59)</x:f>
        <x:v>503447.4291</x:v>
      </x:c>
      <x:c r="AC77" s="4" t="n">
        <x:f>'Opening'!$E$18+SUM($D59:AC59)</x:f>
        <x:v>504507.2682</x:v>
      </x:c>
      <x:c r="AD77" s="4" t="n">
        <x:f>'Opening'!$E$18+SUM($D59:AD59)</x:f>
        <x:v>505567.10730000003</x:v>
      </x:c>
      <x:c r="AE77" s="4" t="n">
        <x:f>'Opening'!$E$18+SUM($D59:AE59)</x:f>
        <x:v>506626.9464</x:v>
      </x:c>
      <x:c r="AF77" s="4" t="n">
        <x:f>'Opening'!$E$18+SUM($D59:AF59)</x:f>
        <x:v>507686.7855</x:v>
      </x:c>
      <x:c r="AG77" s="4" t="n">
        <x:f>'Opening'!$E$18+SUM($D59:AG59)</x:f>
        <x:v>508746.6246</x:v>
      </x:c>
      <x:c r="AH77" s="4" t="n">
        <x:f>'Opening'!$E$18+SUM($D59:AH59)</x:f>
        <x:v>509806.4637</x:v>
      </x:c>
      <x:c r="AI77" s="4" t="n">
        <x:f>'Opening'!$E$18+SUM($D59:AI59)</x:f>
        <x:v>510866.3028</x:v>
      </x:c>
      <x:c r="AJ77" s="4" t="n">
        <x:f>'Opening'!$E$18+SUM($D59:AJ59)</x:f>
        <x:v>511926.1419</x:v>
      </x:c>
      <x:c r="AK77" s="4" t="n">
        <x:f>'Opening'!$E$18+SUM($D59:AK59)</x:f>
        <x:v>512985.981</x:v>
      </x:c>
      <x:c r="AL77" s="4" t="n">
        <x:f>'Opening'!$E$18+SUM($D59:AL59)</x:f>
        <x:v>514045.8201</x:v>
      </x:c>
      <x:c r="AM77" s="4" t="n">
        <x:f>'Opening'!$E$18+SUM($D59:AM59)</x:f>
        <x:v>515105.6592</x:v>
      </x:c>
      <x:c r="AN77" s="2"/>
    </x:row>
    <x:row r="78" ht="21" customHeight="1">
      <x:c r="A78" s="1"/>
      <x:c r="B78" s="1"/>
      <x:c r="C78" s="1" t="str">
        <x:v>Accumulated depreciation</x:v>
      </x:c>
      <x:c r="D78" s="9" t="n">
        <x:f>SUM($D62:D62)</x:f>
        <x:v>5204.1625</x:v>
      </x:c>
      <x:c r="E78" s="9" t="n">
        <x:f>SUM($D62:E62)</x:f>
        <x:v>10417.4825</x:v>
      </x:c>
      <x:c r="F78" s="9" t="n">
        <x:f>SUM($D62:F62)</x:f>
        <x:v>15641.625</x:v>
      </x:c>
      <x:c r="G78" s="9" t="n">
        <x:f>SUM($D62:G62)</x:f>
        <x:v>20877.83875</x:v>
      </x:c>
      <x:c r="H78" s="9" t="n">
        <x:f>SUM($D62:H62)</x:f>
        <x:v>26126.95625</x:v>
      </x:c>
      <x:c r="I78" s="9" t="n">
        <x:f>SUM($D62:I62)</x:f>
        <x:v>31389.809999999998</x:v>
      </x:c>
      <x:c r="J78" s="9" t="n">
        <x:f>SUM($D62:J62)</x:f>
        <x:v>36667.2325</x:v>
      </x:c>
      <x:c r="K78" s="9" t="n">
        <x:f>SUM($D62:K62)</x:f>
        <x:v>41960.056249999994</x:v>
      </x:c>
      <x:c r="L78" s="9" t="n">
        <x:f>SUM($D62:L62)</x:f>
        <x:v>47269.11375</x:v>
      </x:c>
      <x:c r="M78" s="9" t="n">
        <x:f>SUM($D62:M62)</x:f>
        <x:v>52594.82124999999</x:v>
      </x:c>
      <x:c r="N78" s="9" t="n">
        <x:f>SUM($D62:N62)</x:f>
        <x:v>57937.17874999999</x:v>
      </x:c>
      <x:c r="O78" s="9" t="n">
        <x:f>SUM($D62:O62)</x:f>
        <x:v>63296.18624999999</x:v>
      </x:c>
      <x:c r="P78" s="9" t="n">
        <x:f>SUM($D62:P62)</x:f>
        <x:v>68672.09349999999</x:v>
      </x:c>
      <x:c r="Q78" s="9" t="n">
        <x:f>SUM($D62:Q62)</x:f>
        <x:v>74065.15024999999</x:v>
      </x:c>
      <x:c r="R78" s="9" t="n">
        <x:f>SUM($D62:R62)</x:f>
        <x:v>79475.3565</x:v>
      </x:c>
      <x:c r="S78" s="9" t="n">
        <x:f>SUM($D62:S62)</x:f>
        <x:v>84902.71225</x:v>
      </x:c>
      <x:c r="T78" s="9" t="n">
        <x:f>SUM($D62:T62)</x:f>
        <x:v>90347.2175</x:v>
      </x:c>
      <x:c r="U78" s="9" t="n">
        <x:f>SUM($D62:U62)</x:f>
        <x:v>95808.87225</x:v>
      </x:c>
      <x:c r="V78" s="9" t="n">
        <x:f>SUM($D62:V62)</x:f>
        <x:v>101287.6765</x:v>
      </x:c>
      <x:c r="W78" s="9" t="n">
        <x:f>SUM($D62:W62)</x:f>
        <x:v>106783.63025</x:v>
      </x:c>
      <x:c r="X78" s="9" t="n">
        <x:f>SUM($D62:X62)</x:f>
        <x:v>112296.7335</x:v>
      </x:c>
      <x:c r="Y78" s="9" t="n">
        <x:f>SUM($D62:Y62)</x:f>
        <x:v>117826.98625</x:v>
      </x:c>
      <x:c r="Z78" s="9" t="n">
        <x:f>SUM($D62:Z62)</x:f>
        <x:v>123374.3885</x:v>
      </x:c>
      <x:c r="AA78" s="9" t="n">
        <x:f>SUM($D62:AA62)</x:f>
        <x:v>128938.94025</x:v>
      </x:c>
      <x:c r="AB78" s="9" t="n">
        <x:f>SUM($D62:AB62)</x:f>
        <x:v>134520.8987425</x:v>
      </x:c>
      <x:c r="AC78" s="9" t="n">
        <x:f>SUM($D62:AC62)</x:f>
        <x:v>140120.52122</x:v>
      </x:c>
      <x:c r="AD78" s="9" t="n">
        <x:f>SUM($D62:AD62)</x:f>
        <x:v>145737.8076825</x:v>
      </x:c>
      <x:c r="AE78" s="9" t="n">
        <x:f>SUM($D62:AE62)</x:f>
        <x:v>151372.75813</x:v>
      </x:c>
      <x:c r="AF78" s="9" t="n">
        <x:f>SUM($D62:AF62)</x:f>
        <x:v>157025.3725625</x:v>
      </x:c>
      <x:c r="AG78" s="9" t="n">
        <x:f>SUM($D62:AG62)</x:f>
        <x:v>162695.65098</x:v>
      </x:c>
      <x:c r="AH78" s="9" t="n">
        <x:f>SUM($D62:AH62)</x:f>
        <x:v>168383.5933825</x:v>
      </x:c>
      <x:c r="AI78" s="9" t="n">
        <x:f>SUM($D62:AI62)</x:f>
        <x:v>174089.19977</x:v>
      </x:c>
      <x:c r="AJ78" s="9" t="n">
        <x:f>SUM($D62:AJ62)</x:f>
        <x:v>179812.4701425</x:v>
      </x:c>
      <x:c r="AK78" s="9" t="n">
        <x:f>SUM($D62:AK62)</x:f>
        <x:v>185553.4045</x:v>
      </x:c>
      <x:c r="AL78" s="9" t="n">
        <x:f>SUM($D62:AL62)</x:f>
        <x:v>191312.0028425</x:v>
      </x:c>
      <x:c r="AM78" s="9" t="n">
        <x:f>SUM($D62:AM62)</x:f>
        <x:v>197088.26517</x:v>
      </x:c>
      <x:c r="AN78" s="2"/>
    </x:row>
    <x:row r="79" ht="21" customHeight="1">
      <x:c r="A79" s="1"/>
      <x:c r="B79" s="1"/>
      <x:c r="C79" s="1" t="str">
        <x:v>Net capital assets</x:v>
      </x:c>
      <x:c r="D79" s="9" t="n">
        <x:f>D77-D78</x:f>
        <x:v>475295.3375</x:v>
      </x:c>
      <x:c r="E79" s="9" t="n">
        <x:f>E77-E78</x:f>
        <x:v>470681.41750000004</x:v>
      </x:c>
      <x:c r="F79" s="9" t="n">
        <x:f>F77-F78</x:f>
        <x:v>466156.575</x:v>
      </x:c>
      <x:c r="G79" s="9" t="n">
        <x:f>G77-G78</x:f>
        <x:v>461669.61125</x:v>
      </x:c>
      <x:c r="H79" s="9" t="n">
        <x:f>H77-H78</x:f>
        <x:v>457219.69375000003</x:v>
      </x:c>
      <x:c r="I79" s="9" t="n">
        <x:f>I77-I78</x:f>
        <x:v>452805.99</x:v>
      </x:c>
      <x:c r="J79" s="9" t="n">
        <x:f>J77-J78</x:f>
        <x:v>448427.66750000004</x:v>
      </x:c>
      <x:c r="K79" s="9" t="n">
        <x:f>K77-K78</x:f>
        <x:v>444083.89375000005</x:v>
      </x:c>
      <x:c r="L79" s="9" t="n">
        <x:f>L77-L78</x:f>
        <x:v>439773.83625</x:v>
      </x:c>
      <x:c r="M79" s="9" t="n">
        <x:f>M77-M78</x:f>
        <x:v>435447.12875000003</x:v>
      </x:c>
      <x:c r="N79" s="9" t="n">
        <x:f>N77-N78</x:f>
        <x:v>431103.77125</x:v>
      </x:c>
      <x:c r="O79" s="9" t="n">
        <x:f>O77-O78</x:f>
        <x:v>426743.76375000004</x:v>
      </x:c>
      <x:c r="P79" s="9" t="n">
        <x:f>P77-P78</x:f>
        <x:v>422396.82649999997</x:v>
      </x:c>
      <x:c r="Q79" s="9" t="n">
        <x:f>Q77-Q78</x:f>
        <x:v>418032.73975</x:v>
      </x:c>
      <x:c r="R79" s="9" t="n">
        <x:f>R77-R78</x:f>
        <x:v>413651.5035</x:v>
      </x:c>
      <x:c r="S79" s="9" t="n">
        <x:f>S77-S78</x:f>
        <x:v>409253.11775000003</x:v>
      </x:c>
      <x:c r="T79" s="9" t="n">
        <x:f>T77-T78</x:f>
        <x:v>404837.5825</x:v>
      </x:c>
      <x:c r="U79" s="9" t="n">
        <x:f>U77-U78</x:f>
        <x:v>400404.89775</x:v>
      </x:c>
      <x:c r="V79" s="9" t="n">
        <x:f>V77-V78</x:f>
        <x:v>395955.0635</x:v>
      </x:c>
      <x:c r="W79" s="9" t="n">
        <x:f>W77-W78</x:f>
        <x:v>391488.07975000003</x:v>
      </x:c>
      <x:c r="X79" s="9" t="n">
        <x:f>X77-X78</x:f>
        <x:v>387003.94649999996</x:v>
      </x:c>
      <x:c r="Y79" s="9" t="n">
        <x:f>Y77-Y78</x:f>
        <x:v>382502.66375</x:v>
      </x:c>
      <x:c r="Z79" s="9" t="n">
        <x:f>Z77-Z78</x:f>
        <x:v>377984.2315</x:v>
      </x:c>
      <x:c r="AA79" s="9" t="n">
        <x:f>AA77-AA78</x:f>
        <x:v>373448.64975000004</x:v>
      </x:c>
      <x:c r="AB79" s="9" t="n">
        <x:f>AB77-AB78</x:f>
        <x:v>368926.5303575</x:v>
      </x:c>
      <x:c r="AC79" s="9" t="n">
        <x:f>AC77-AC78</x:f>
        <x:v>364386.74698</x:v>
      </x:c>
      <x:c r="AD79" s="9" t="n">
        <x:f>AD77-AD78</x:f>
        <x:v>359829.29961750004</x:v>
      </x:c>
      <x:c r="AE79" s="9" t="n">
        <x:f>AE77-AE78</x:f>
        <x:v>355254.18827000004</x:v>
      </x:c>
      <x:c r="AF79" s="9" t="n">
        <x:f>AF77-AF78</x:f>
        <x:v>350661.4129375</x:v>
      </x:c>
      <x:c r="AG79" s="9" t="n">
        <x:f>AG77-AG78</x:f>
        <x:v>346050.97361999995</x:v>
      </x:c>
      <x:c r="AH79" s="9" t="n">
        <x:f>AH77-AH78</x:f>
        <x:v>341422.8703175</x:v>
      </x:c>
      <x:c r="AI79" s="9" t="n">
        <x:f>AI77-AI78</x:f>
        <x:v>336777.10303</x:v>
      </x:c>
      <x:c r="AJ79" s="9" t="n">
        <x:f>AJ77-AJ78</x:f>
        <x:v>332113.6717575</x:v>
      </x:c>
      <x:c r="AK79" s="9" t="n">
        <x:f>AK77-AK78</x:f>
        <x:v>327432.5765</x:v>
      </x:c>
      <x:c r="AL79" s="9" t="n">
        <x:f>AL77-AL78</x:f>
        <x:v>322733.8172575</x:v>
      </x:c>
      <x:c r="AM79" s="9" t="n">
        <x:f>AM77-AM78</x:f>
        <x:v>318017.39402999997</x:v>
      </x:c>
      <x:c r="AN79" s="2"/>
    </x:row>
    <x:row r="80" ht="21" customHeight="1">
      <x:c r="A80" s="1"/>
      <x:c r="B80" s="1"/>
      <x:c r="C80" s="1" t="str">
        <x:v>Refundable deposits</x:v>
      </x:c>
      <x:c r="D80" s="4" t="n">
        <x:f>'Opening'!$E$20</x:f>
        <x:v>30000</x:v>
      </x:c>
      <x:c r="E80" s="4" t="n">
        <x:f>'Opening'!$E$20</x:f>
        <x:v>30000</x:v>
      </x:c>
      <x:c r="F80" s="4" t="n">
        <x:f>'Opening'!$E$20</x:f>
        <x:v>30000</x:v>
      </x:c>
      <x:c r="G80" s="4" t="n">
        <x:f>'Opening'!$E$20</x:f>
        <x:v>30000</x:v>
      </x:c>
      <x:c r="H80" s="4" t="n">
        <x:f>'Opening'!$E$20</x:f>
        <x:v>30000</x:v>
      </x:c>
      <x:c r="I80" s="4" t="n">
        <x:f>'Opening'!$E$20</x:f>
        <x:v>30000</x:v>
      </x:c>
      <x:c r="J80" s="4" t="n">
        <x:f>'Opening'!$E$20</x:f>
        <x:v>30000</x:v>
      </x:c>
      <x:c r="K80" s="4" t="n">
        <x:f>'Opening'!$E$20</x:f>
        <x:v>30000</x:v>
      </x:c>
      <x:c r="L80" s="4" t="n">
        <x:f>'Opening'!$E$20</x:f>
        <x:v>30000</x:v>
      </x:c>
      <x:c r="M80" s="4" t="n">
        <x:f>'Opening'!$E$20</x:f>
        <x:v>30000</x:v>
      </x:c>
      <x:c r="N80" s="4" t="n">
        <x:f>'Opening'!$E$20</x:f>
        <x:v>30000</x:v>
      </x:c>
      <x:c r="O80" s="4" t="n">
        <x:f>'Opening'!$E$20</x:f>
        <x:v>30000</x:v>
      </x:c>
      <x:c r="P80" s="4" t="n">
        <x:f>'Opening'!$E$20</x:f>
        <x:v>30000</x:v>
      </x:c>
      <x:c r="Q80" s="4" t="n">
        <x:f>'Opening'!$E$20</x:f>
        <x:v>30000</x:v>
      </x:c>
      <x:c r="R80" s="4" t="n">
        <x:f>'Opening'!$E$20</x:f>
        <x:v>30000</x:v>
      </x:c>
      <x:c r="S80" s="4" t="n">
        <x:f>'Opening'!$E$20</x:f>
        <x:v>30000</x:v>
      </x:c>
      <x:c r="T80" s="4" t="n">
        <x:f>'Opening'!$E$20</x:f>
        <x:v>30000</x:v>
      </x:c>
      <x:c r="U80" s="4" t="n">
        <x:f>'Opening'!$E$20</x:f>
        <x:v>30000</x:v>
      </x:c>
      <x:c r="V80" s="4" t="n">
        <x:f>'Opening'!$E$20</x:f>
        <x:v>30000</x:v>
      </x:c>
      <x:c r="W80" s="4" t="n">
        <x:f>'Opening'!$E$20</x:f>
        <x:v>30000</x:v>
      </x:c>
      <x:c r="X80" s="4" t="n">
        <x:f>'Opening'!$E$20</x:f>
        <x:v>30000</x:v>
      </x:c>
      <x:c r="Y80" s="4" t="n">
        <x:f>'Opening'!$E$20</x:f>
        <x:v>30000</x:v>
      </x:c>
      <x:c r="Z80" s="4" t="n">
        <x:f>'Opening'!$E$20</x:f>
        <x:v>30000</x:v>
      </x:c>
      <x:c r="AA80" s="4" t="n">
        <x:f>'Opening'!$E$20</x:f>
        <x:v>30000</x:v>
      </x:c>
      <x:c r="AB80" s="4" t="n">
        <x:f>'Opening'!$E$20</x:f>
        <x:v>30000</x:v>
      </x:c>
      <x:c r="AC80" s="4" t="n">
        <x:f>'Opening'!$E$20</x:f>
        <x:v>30000</x:v>
      </x:c>
      <x:c r="AD80" s="4" t="n">
        <x:f>'Opening'!$E$20</x:f>
        <x:v>30000</x:v>
      </x:c>
      <x:c r="AE80" s="4" t="n">
        <x:f>'Opening'!$E$20</x:f>
        <x:v>30000</x:v>
      </x:c>
      <x:c r="AF80" s="4" t="n">
        <x:f>'Opening'!$E$20</x:f>
        <x:v>30000</x:v>
      </x:c>
      <x:c r="AG80" s="4" t="n">
        <x:f>'Opening'!$E$20</x:f>
        <x:v>30000</x:v>
      </x:c>
      <x:c r="AH80" s="4" t="n">
        <x:f>'Opening'!$E$20</x:f>
        <x:v>30000</x:v>
      </x:c>
      <x:c r="AI80" s="4" t="n">
        <x:f>'Opening'!$E$20</x:f>
        <x:v>30000</x:v>
      </x:c>
      <x:c r="AJ80" s="4" t="n">
        <x:f>'Opening'!$E$20</x:f>
        <x:v>30000</x:v>
      </x:c>
      <x:c r="AK80" s="4" t="n">
        <x:f>'Opening'!$E$20</x:f>
        <x:v>30000</x:v>
      </x:c>
      <x:c r="AL80" s="4" t="n">
        <x:f>'Opening'!$E$20</x:f>
        <x:v>30000</x:v>
      </x:c>
      <x:c r="AM80" s="4" t="n">
        <x:f>'Opening'!$E$20</x:f>
        <x:v>30000</x:v>
      </x:c>
      <x:c r="AN80" s="2"/>
    </x:row>
    <x:row r="81" ht="21" customHeight="1">
      <x:c r="A81" s="1"/>
      <x:c r="B81" s="1"/>
      <x:c r="C81" s="1" t="str">
        <x:v>Total assets</x:v>
      </x:c>
      <x:c r="D81" s="9" t="n">
        <x:f>D75+SUM(D67:D68)+SUM(D79:D80)</x:f>
        <x:v>918254.9741708334</x:v>
      </x:c>
      <x:c r="E81" s="9" t="n">
        <x:f>E75+SUM(E67:E68)+SUM(E79:E80)</x:f>
        <x:v>887891.3780091668</x:v>
      </x:c>
      <x:c r="F81" s="9" t="n">
        <x:f>F75+SUM(F67:F68)+SUM(F79:F80)</x:f>
        <x:v>863742.546515</x:v>
      </x:c>
      <x:c r="G81" s="9" t="n">
        <x:f>G75+SUM(G67:G68)+SUM(G79:G80)</x:f>
        <x:v>842340.0623545833</x:v>
      </x:c>
      <x:c r="H81" s="9" t="n">
        <x:f>H75+SUM(H67:H68)+SUM(H79:H80)</x:f>
        <x:v>824037.4680279167</x:v>
      </x:c>
      <x:c r="I81" s="9" t="n">
        <x:f>I75+SUM(I67:I68)+SUM(I79:I80)</x:f>
        <x:v>808833.931035</x:v>
      </x:c>
      <x:c r="J81" s="9" t="n">
        <x:f>J75+SUM(J67:J68)+SUM(J79:J80)</x:f>
        <x:v>796728.6188758333</x:v>
      </x:c>
      <x:c r="K81" s="9" t="n">
        <x:f>K75+SUM(K67:K68)+SUM(K79:K80)</x:f>
        <x:v>787720.6990504167</x:v>
      </x:c>
      <x:c r="L81" s="9" t="n">
        <x:f>L75+SUM(L67:L68)+SUM(L79:L80)</x:f>
        <x:v>781809.3390587501</x:v>
      </x:c>
      <x:c r="M81" s="9" t="n">
        <x:f>M75+SUM(M67:M68)+SUM(M79:M80)</x:f>
        <x:v>775526.9540670833</x:v>
      </x:c>
      <x:c r="N81" s="9" t="n">
        <x:f>N75+SUM(N67:N68)+SUM(N79:N80)</x:f>
        <x:v>769227.9190754166</x:v>
      </x:c>
      <x:c r="O81" s="9" t="n">
        <x:f>O75+SUM(O67:O68)+SUM(O79:O80)</x:f>
        <x:v>762912.23408375</x:v>
      </x:c>
      <x:c r="P81" s="9" t="n">
        <x:f>P75+SUM(P67:P68)+SUM(P79:P80)</x:f>
        <x:v>756627.7440173333</x:v>
      </x:c>
      <x:c r="Q81" s="9" t="n">
        <x:f>Q75+SUM(Q67:Q68)+SUM(Q79:Q80)</x:f>
        <x:v>750113.4794509166</x:v>
      </x:c>
      <x:c r="R81" s="9" t="n">
        <x:f>R75+SUM(R67:R68)+SUM(R79:R80)</x:f>
        <x:v>743582.0653845</x:v>
      </x:c>
      <x:c r="S81" s="9" t="n">
        <x:f>S75+SUM(S67:S68)+SUM(S79:S80)</x:f>
        <x:v>737033.5018180833</x:v>
      </x:c>
      <x:c r="T81" s="9" t="n">
        <x:f>T75+SUM(T67:T68)+SUM(T79:T80)</x:f>
        <x:v>730467.7887516667</x:v>
      </x:c>
      <x:c r="U81" s="9" t="n">
        <x:f>U75+SUM(U67:U68)+SUM(U79:U80)</x:f>
        <x:v>723884.92618525</x:v>
      </x:c>
      <x:c r="V81" s="9" t="n">
        <x:f>V75+SUM(V67:V68)+SUM(V79:V80)</x:f>
        <x:v>717284.9141188334</x:v>
      </x:c>
      <x:c r="W81" s="9" t="n">
        <x:f>W75+SUM(W67:W68)+SUM(W79:W80)</x:f>
        <x:v>710667.7525524166</x:v>
      </x:c>
      <x:c r="X81" s="9" t="n">
        <x:f>X75+SUM(X67:X68)+SUM(X79:X80)</x:f>
        <x:v>704033.441486</x:v>
      </x:c>
      <x:c r="Y81" s="9" t="n">
        <x:f>Y75+SUM(Y67:Y68)+SUM(Y79:Y80)</x:f>
        <x:v>697381.9809195834</x:v>
      </x:c>
      <x:c r="Z81" s="9" t="n">
        <x:f>Z75+SUM(Z67:Z68)+SUM(Z79:Z80)</x:f>
        <x:v>690713.3708531667</x:v>
      </x:c>
      <x:c r="AA81" s="9" t="n">
        <x:f>AA75+SUM(AA67:AA68)+SUM(AA79:AA80)</x:f>
        <x:v>684027.6112867501</x:v>
      </x:c>
      <x:c r="AB81" s="9" t="n">
        <x:f>AB75+SUM(AB67:AB68)+SUM(AB79:AB80)</x:f>
        <x:v>677364.5204933409</x:v>
      </x:c>
      <x:c r="AC81" s="9" t="n">
        <x:f>AC75+SUM(AC67:AC68)+SUM(AC79:AC80)</x:f>
        <x:v>670464.7619649316</x:v>
      </x:c>
      <x:c r="AD81" s="9" t="n">
        <x:f>AD75+SUM(AD67:AD68)+SUM(AD79:AD80)</x:f>
        <x:v>663547.3394515226</x:v>
      </x:c>
      <x:c r="AE81" s="9" t="n">
        <x:f>AE75+SUM(AE67:AE68)+SUM(AE79:AE80)</x:f>
        <x:v>656612.2529531134</x:v>
      </x:c>
      <x:c r="AF81" s="9" t="n">
        <x:f>AF75+SUM(AF67:AF68)+SUM(AF79:AF80)</x:f>
        <x:v>649659.5024697043</x:v>
      </x:c>
      <x:c r="AG81" s="9" t="n">
        <x:f>AG75+SUM(AG67:AG68)+SUM(AG79:AG80)</x:f>
        <x:v>642689.088001295</x:v>
      </x:c>
      <x:c r="AH81" s="9" t="n">
        <x:f>AH75+SUM(AH67:AH68)+SUM(AH79:AH80)</x:f>
        <x:v>635701.009547886</x:v>
      </x:c>
      <x:c r="AI81" s="9" t="n">
        <x:f>AI75+SUM(AI67:AI68)+SUM(AI79:AI80)</x:f>
        <x:v>628695.2671094767</x:v>
      </x:c>
      <x:c r="AJ81" s="9" t="n">
        <x:f>AJ75+SUM(AJ67:AJ68)+SUM(AJ79:AJ80)</x:f>
        <x:v>621671.8606860676</x:v>
      </x:c>
      <x:c r="AK81" s="9" t="n">
        <x:f>AK75+SUM(AK67:AK68)+SUM(AK79:AK80)</x:f>
        <x:v>614630.7902776585</x:v>
      </x:c>
      <x:c r="AL81" s="9" t="n">
        <x:f>AL75+SUM(AL67:AL68)+SUM(AL79:AL80)</x:f>
        <x:v>607572.0558842493</x:v>
      </x:c>
      <x:c r="AM81" s="9" t="n">
        <x:f>AM75+SUM(AM67:AM68)+SUM(AM79:AM80)</x:f>
        <x:v>600495.6575058401</x:v>
      </x:c>
      <x:c r="AN81" s="2"/>
    </x:row>
    <x:row r="82" ht="21" customHeight="1">
      <x:c r="A82" s="1"/>
      <x:c r="B82" s="1"/>
      <x:c r="C82" s="1" t="str">
        <x:v>Trade liabilities</x:v>
      </x:c>
      <x:c r="D82" s="9" t="n">
        <x:f>D69</x:f>
        <x:v>3543.75</x:v>
      </x:c>
      <x:c r="E82" s="9" t="n">
        <x:f>E69</x:f>
        <x:v>4252.5</x:v>
      </x:c>
      <x:c r="F82" s="9" t="n">
        <x:f>F69</x:f>
        <x:v>4961.25</x:v>
      </x:c>
      <x:c r="G82" s="9" t="n">
        <x:f>G69</x:f>
        <x:v>5315.625</x:v>
      </x:c>
      <x:c r="H82" s="9" t="n">
        <x:f>H69</x:f>
        <x:v>5670</x:v>
      </x:c>
      <x:c r="I82" s="9" t="n">
        <x:f>I69</x:f>
        <x:v>6024.375</x:v>
      </x:c>
      <x:c r="J82" s="9" t="n">
        <x:f>J69</x:f>
        <x:v>6378.75</x:v>
      </x:c>
      <x:c r="K82" s="9" t="n">
        <x:f>K69</x:f>
        <x:v>6733.125</x:v>
      </x:c>
      <x:c r="L82" s="9" t="n">
        <x:f>L69</x:f>
        <x:v>7087.5</x:v>
      </x:c>
      <x:c r="M82" s="9" t="n">
        <x:f>M69</x:f>
        <x:v>7087.5</x:v>
      </x:c>
      <x:c r="N82" s="9" t="n">
        <x:f>N69</x:f>
        <x:v>7087.5</x:v>
      </x:c>
      <x:c r="O82" s="9" t="n">
        <x:f>O69</x:f>
        <x:v>7087.5</x:v>
      </x:c>
      <x:c r="P82" s="9" t="n">
        <x:f>P69</x:f>
        <x:v>7300.125</x:v>
      </x:c>
      <x:c r="Q82" s="9" t="n">
        <x:f>Q69</x:f>
        <x:v>7300.125</x:v>
      </x:c>
      <x:c r="R82" s="9" t="n">
        <x:f>R69</x:f>
        <x:v>7300.125</x:v>
      </x:c>
      <x:c r="S82" s="9" t="n">
        <x:f>S69</x:f>
        <x:v>7300.125</x:v>
      </x:c>
      <x:c r="T82" s="9" t="n">
        <x:f>T69</x:f>
        <x:v>7300.125</x:v>
      </x:c>
      <x:c r="U82" s="9" t="n">
        <x:f>U69</x:f>
        <x:v>7300.125</x:v>
      </x:c>
      <x:c r="V82" s="9" t="n">
        <x:f>V69</x:f>
        <x:v>7300.125</x:v>
      </x:c>
      <x:c r="W82" s="9" t="n">
        <x:f>W69</x:f>
        <x:v>7300.125</x:v>
      </x:c>
      <x:c r="X82" s="9" t="n">
        <x:f>X69</x:f>
        <x:v>7300.125</x:v>
      </x:c>
      <x:c r="Y82" s="9" t="n">
        <x:f>Y69</x:f>
        <x:v>7300.125</x:v>
      </x:c>
      <x:c r="Z82" s="9" t="n">
        <x:f>Z69</x:f>
        <x:v>7300.125</x:v>
      </x:c>
      <x:c r="AA82" s="9" t="n">
        <x:f>AA69</x:f>
        <x:v>7300.125</x:v>
      </x:c>
      <x:c r="AB82" s="9" t="n">
        <x:f>AB69</x:f>
        <x:v>7519.128749999999</x:v>
      </x:c>
      <x:c r="AC82" s="9" t="n">
        <x:f>AC69</x:f>
        <x:v>7519.128749999999</x:v>
      </x:c>
      <x:c r="AD82" s="9" t="n">
        <x:f>AD69</x:f>
        <x:v>7519.128749999999</x:v>
      </x:c>
      <x:c r="AE82" s="9" t="n">
        <x:f>AE69</x:f>
        <x:v>7519.128749999999</x:v>
      </x:c>
      <x:c r="AF82" s="9" t="n">
        <x:f>AF69</x:f>
        <x:v>7519.128749999999</x:v>
      </x:c>
      <x:c r="AG82" s="9" t="n">
        <x:f>AG69</x:f>
        <x:v>7519.128749999999</x:v>
      </x:c>
      <x:c r="AH82" s="9" t="n">
        <x:f>AH69</x:f>
        <x:v>7519.128749999999</x:v>
      </x:c>
      <x:c r="AI82" s="9" t="n">
        <x:f>AI69</x:f>
        <x:v>7519.128749999999</x:v>
      </x:c>
      <x:c r="AJ82" s="9" t="n">
        <x:f>AJ69</x:f>
        <x:v>7519.128749999999</x:v>
      </x:c>
      <x:c r="AK82" s="9" t="n">
        <x:f>AK69</x:f>
        <x:v>7519.128749999999</x:v>
      </x:c>
      <x:c r="AL82" s="9" t="n">
        <x:f>AL69</x:f>
        <x:v>7519.128749999999</x:v>
      </x:c>
      <x:c r="AM82" s="9" t="n">
        <x:f>AM69</x:f>
        <x:v>7519.128749999999</x:v>
      </x:c>
      <x:c r="AN82" s="2"/>
    </x:row>
    <x:row r="83" ht="21" customHeight="1">
      <x:c r="A83" s="1"/>
      <x:c r="B83" s="1"/>
      <x:c r="C83" s="1" t="str">
        <x:v>Equity funding</x:v>
      </x:c>
      <x:c r="D83" s="4" t="n">
        <x:f>'Opening'!$E$23</x:f>
        <x:v>1100000</x:v>
      </x:c>
      <x:c r="E83" s="4" t="n">
        <x:f>'Opening'!$E$23</x:f>
        <x:v>1100000</x:v>
      </x:c>
      <x:c r="F83" s="4" t="n">
        <x:f>'Opening'!$E$23</x:f>
        <x:v>1100000</x:v>
      </x:c>
      <x:c r="G83" s="4" t="n">
        <x:f>'Opening'!$E$23</x:f>
        <x:v>1100000</x:v>
      </x:c>
      <x:c r="H83" s="4" t="n">
        <x:f>'Opening'!$E$23</x:f>
        <x:v>1100000</x:v>
      </x:c>
      <x:c r="I83" s="4" t="n">
        <x:f>'Opening'!$E$23</x:f>
        <x:v>1100000</x:v>
      </x:c>
      <x:c r="J83" s="4" t="n">
        <x:f>'Opening'!$E$23</x:f>
        <x:v>1100000</x:v>
      </x:c>
      <x:c r="K83" s="4" t="n">
        <x:f>'Opening'!$E$23</x:f>
        <x:v>1100000</x:v>
      </x:c>
      <x:c r="L83" s="4" t="n">
        <x:f>'Opening'!$E$23</x:f>
        <x:v>1100000</x:v>
      </x:c>
      <x:c r="M83" s="4" t="n">
        <x:f>'Opening'!$E$23</x:f>
        <x:v>1100000</x:v>
      </x:c>
      <x:c r="N83" s="4" t="n">
        <x:f>'Opening'!$E$23</x:f>
        <x:v>1100000</x:v>
      </x:c>
      <x:c r="O83" s="4" t="n">
        <x:f>'Opening'!$E$23</x:f>
        <x:v>1100000</x:v>
      </x:c>
      <x:c r="P83" s="4" t="n">
        <x:f>'Opening'!$E$23</x:f>
        <x:v>1100000</x:v>
      </x:c>
      <x:c r="Q83" s="4" t="n">
        <x:f>'Opening'!$E$23</x:f>
        <x:v>1100000</x:v>
      </x:c>
      <x:c r="R83" s="4" t="n">
        <x:f>'Opening'!$E$23</x:f>
        <x:v>1100000</x:v>
      </x:c>
      <x:c r="S83" s="4" t="n">
        <x:f>'Opening'!$E$23</x:f>
        <x:v>1100000</x:v>
      </x:c>
      <x:c r="T83" s="4" t="n">
        <x:f>'Opening'!$E$23</x:f>
        <x:v>1100000</x:v>
      </x:c>
      <x:c r="U83" s="4" t="n">
        <x:f>'Opening'!$E$23</x:f>
        <x:v>1100000</x:v>
      </x:c>
      <x:c r="V83" s="4" t="n">
        <x:f>'Opening'!$E$23</x:f>
        <x:v>1100000</x:v>
      </x:c>
      <x:c r="W83" s="4" t="n">
        <x:f>'Opening'!$E$23</x:f>
        <x:v>1100000</x:v>
      </x:c>
      <x:c r="X83" s="4" t="n">
        <x:f>'Opening'!$E$23</x:f>
        <x:v>1100000</x:v>
      </x:c>
      <x:c r="Y83" s="4" t="n">
        <x:f>'Opening'!$E$23</x:f>
        <x:v>1100000</x:v>
      </x:c>
      <x:c r="Z83" s="4" t="n">
        <x:f>'Opening'!$E$23</x:f>
        <x:v>1100000</x:v>
      </x:c>
      <x:c r="AA83" s="4" t="n">
        <x:f>'Opening'!$E$23</x:f>
        <x:v>1100000</x:v>
      </x:c>
      <x:c r="AB83" s="4" t="n">
        <x:f>'Opening'!$E$23</x:f>
        <x:v>1100000</x:v>
      </x:c>
      <x:c r="AC83" s="4" t="n">
        <x:f>'Opening'!$E$23</x:f>
        <x:v>1100000</x:v>
      </x:c>
      <x:c r="AD83" s="4" t="n">
        <x:f>'Opening'!$E$23</x:f>
        <x:v>1100000</x:v>
      </x:c>
      <x:c r="AE83" s="4" t="n">
        <x:f>'Opening'!$E$23</x:f>
        <x:v>1100000</x:v>
      </x:c>
      <x:c r="AF83" s="4" t="n">
        <x:f>'Opening'!$E$23</x:f>
        <x:v>1100000</x:v>
      </x:c>
      <x:c r="AG83" s="4" t="n">
        <x:f>'Opening'!$E$23</x:f>
        <x:v>1100000</x:v>
      </x:c>
      <x:c r="AH83" s="4" t="n">
        <x:f>'Opening'!$E$23</x:f>
        <x:v>1100000</x:v>
      </x:c>
      <x:c r="AI83" s="4" t="n">
        <x:f>'Opening'!$E$23</x:f>
        <x:v>1100000</x:v>
      </x:c>
      <x:c r="AJ83" s="4" t="n">
        <x:f>'Opening'!$E$23</x:f>
        <x:v>1100000</x:v>
      </x:c>
      <x:c r="AK83" s="4" t="n">
        <x:f>'Opening'!$E$23</x:f>
        <x:v>1100000</x:v>
      </x:c>
      <x:c r="AL83" s="4" t="n">
        <x:f>'Opening'!$E$23</x:f>
        <x:v>1100000</x:v>
      </x:c>
      <x:c r="AM83" s="4" t="n">
        <x:f>'Opening'!$E$23</x:f>
        <x:v>1100000</x:v>
      </x:c>
      <x:c r="AN83" s="2"/>
    </x:row>
    <x:row r="84" ht="21" customHeight="1">
      <x:c r="A84" s="1"/>
      <x:c r="B84" s="1"/>
      <x:c r="C84" s="1" t="str">
        <x:v>Retained earnings</x:v>
      </x:c>
      <x:c r="D84" s="4" t="n">
        <x:f>'Opening'!$E$25+SUM($D65:D65)</x:f>
        <x:v>-185288.77582916667</x:v>
      </x:c>
      <x:c r="E84" s="4" t="n">
        <x:f>'Opening'!$E$25+SUM($D65:E65)</x:f>
        <x:v>-216361.12199083334</x:v>
      </x:c>
      <x:c r="F84" s="4" t="n">
        <x:f>'Opening'!$E$25+SUM($D65:F65)</x:f>
        <x:v>-241218.703485</x:v>
      </x:c>
      <x:c r="G84" s="4" t="n">
        <x:f>'Opening'!$E$25+SUM($D65:G65)</x:f>
        <x:v>-262975.5626454167</x:v>
      </x:c>
      <x:c r="H84" s="4" t="n">
        <x:f>'Opening'!$E$25+SUM($D65:H65)</x:f>
        <x:v>-281632.5319720834</x:v>
      </x:c>
      <x:c r="I84" s="4" t="n">
        <x:f>'Opening'!$E$25+SUM($D65:I65)</x:f>
        <x:v>-297190.443965</x:v>
      </x:c>
      <x:c r="J84" s="4" t="n">
        <x:f>'Opening'!$E$25+SUM($D65:J65)</x:f>
        <x:v>-309650.13112416666</x:v>
      </x:c>
      <x:c r="K84" s="4" t="n">
        <x:f>'Opening'!$E$25+SUM($D65:K65)</x:f>
        <x:v>-319012.42594958335</x:v>
      </x:c>
      <x:c r="L84" s="4" t="n">
        <x:f>'Opening'!$E$25+SUM($D65:L65)</x:f>
        <x:v>-325278.16094125004</x:v>
      </x:c>
      <x:c r="M84" s="4" t="n">
        <x:f>'Opening'!$E$25+SUM($D65:M65)</x:f>
        <x:v>-331560.5459329167</x:v>
      </x:c>
      <x:c r="N84" s="4" t="n">
        <x:f>'Opening'!$E$25+SUM($D65:N65)</x:f>
        <x:v>-337859.58092458337</x:v>
      </x:c>
      <x:c r="O84" s="4" t="n">
        <x:f>'Opening'!$E$25+SUM($D65:O65)</x:f>
        <x:v>-344175.26591625006</x:v>
      </x:c>
      <x:c r="P84" s="4" t="n">
        <x:f>'Opening'!$E$25+SUM($D65:P65)</x:f>
        <x:v>-350672.38098266674</x:v>
      </x:c>
      <x:c r="Q84" s="4" t="n">
        <x:f>'Opening'!$E$25+SUM($D65:Q65)</x:f>
        <x:v>-357186.64554908336</x:v>
      </x:c>
      <x:c r="R84" s="4" t="n">
        <x:f>'Opening'!$E$25+SUM($D65:R65)</x:f>
        <x:v>-363718.05961550004</x:v>
      </x:c>
      <x:c r="S84" s="4" t="n">
        <x:f>'Opening'!$E$25+SUM($D65:S65)</x:f>
        <x:v>-370266.62318191666</x:v>
      </x:c>
      <x:c r="T84" s="4" t="n">
        <x:f>'Opening'!$E$25+SUM($D65:T65)</x:f>
        <x:v>-376832.33624833333</x:v>
      </x:c>
      <x:c r="U84" s="4" t="n">
        <x:f>'Opening'!$E$25+SUM($D65:U65)</x:f>
        <x:v>-383415.19881474995</x:v>
      </x:c>
      <x:c r="V84" s="4" t="n">
        <x:f>'Opening'!$E$25+SUM($D65:V65)</x:f>
        <x:v>-390015.2108811666</x:v>
      </x:c>
      <x:c r="W84" s="4" t="n">
        <x:f>'Opening'!$E$25+SUM($D65:W65)</x:f>
        <x:v>-396632.37244758324</x:v>
      </x:c>
      <x:c r="X84" s="4" t="n">
        <x:f>'Opening'!$E$25+SUM($D65:X65)</x:f>
        <x:v>-403266.6835139999</x:v>
      </x:c>
      <x:c r="Y84" s="4" t="n">
        <x:f>'Opening'!$E$25+SUM($D65:Y65)</x:f>
        <x:v>-409918.14408041653</x:v>
      </x:c>
      <x:c r="Z84" s="4" t="n">
        <x:f>'Opening'!$E$25+SUM($D65:Z65)</x:f>
        <x:v>-416586.7541468332</x:v>
      </x:c>
      <x:c r="AA84" s="4" t="n">
        <x:f>'Opening'!$E$25+SUM($D65:AA65)</x:f>
        <x:v>-423272.5137132499</x:v>
      </x:c>
      <x:c r="AB84" s="4" t="n">
        <x:f>'Opening'!$E$25+SUM($D65:AB65)</x:f>
        <x:v>-430154.60825665906</x:v>
      </x:c>
      <x:c r="AC84" s="4" t="n">
        <x:f>'Opening'!$E$25+SUM($D65:AC65)</x:f>
        <x:v>-437054.36678506824</x:v>
      </x:c>
      <x:c r="AD84" s="4" t="n">
        <x:f>'Opening'!$E$25+SUM($D65:AD65)</x:f>
        <x:v>-443971.7892984774</x:v>
      </x:c>
      <x:c r="AE84" s="4" t="n">
        <x:f>'Opening'!$E$25+SUM($D65:AE65)</x:f>
        <x:v>-450906.87579688657</x:v>
      </x:c>
      <x:c r="AF84" s="4" t="n">
        <x:f>'Opening'!$E$25+SUM($D65:AF65)</x:f>
        <x:v>-457859.6262802957</x:v>
      </x:c>
      <x:c r="AG84" s="4" t="n">
        <x:f>'Opening'!$E$25+SUM($D65:AG65)</x:f>
        <x:v>-464830.04074870487</x:v>
      </x:c>
      <x:c r="AH84" s="4" t="n">
        <x:f>'Opening'!$E$25+SUM($D65:AH65)</x:f>
        <x:v>-471818.119202114</x:v>
      </x:c>
      <x:c r="AI84" s="4" t="n">
        <x:f>'Opening'!$E$25+SUM($D65:AI65)</x:f>
        <x:v>-478823.8616405232</x:v>
      </x:c>
      <x:c r="AJ84" s="4" t="n">
        <x:f>'Opening'!$E$25+SUM($D65:AJ65)</x:f>
        <x:v>-485847.26806393237</x:v>
      </x:c>
      <x:c r="AK84" s="4" t="n">
        <x:f>'Opening'!$E$25+SUM($D65:AK65)</x:f>
        <x:v>-492888.33847234154</x:v>
      </x:c>
      <x:c r="AL84" s="4" t="n">
        <x:f>'Opening'!$E$25+SUM($D65:AL65)</x:f>
        <x:v>-499947.0728657507</x:v>
      </x:c>
      <x:c r="AM84" s="4" t="n">
        <x:f>'Opening'!$E$25+SUM($D65:AM65)</x:f>
        <x:v>-507023.47124415985</x:v>
      </x:c>
      <x:c r="AN84" s="2"/>
    </x:row>
    <x:row r="85" ht="21" customHeight="1">
      <x:c r="A85" s="1"/>
      <x:c r="B85" s="1"/>
      <x:c r="C85" s="10" t="str">
        <x:v>Liabilities and equity</x:v>
      </x:c>
      <x:c r="D85" s="11" t="n">
        <x:f>SUM(D82:D84)</x:f>
        <x:v>918254.9741708334</x:v>
      </x:c>
      <x:c r="E85" s="11" t="n">
        <x:f>SUM(E82:E84)</x:f>
        <x:v>887891.3780091667</x:v>
      </x:c>
      <x:c r="F85" s="11" t="n">
        <x:f>SUM(F82:F84)</x:f>
        <x:v>863742.546515</x:v>
      </x:c>
      <x:c r="G85" s="11" t="n">
        <x:f>SUM(G82:G84)</x:f>
        <x:v>842340.0623545833</x:v>
      </x:c>
      <x:c r="H85" s="11" t="n">
        <x:f>SUM(H82:H84)</x:f>
        <x:v>824037.4680279166</x:v>
      </x:c>
      <x:c r="I85" s="11" t="n">
        <x:f>SUM(I82:I84)</x:f>
        <x:v>808833.931035</x:v>
      </x:c>
      <x:c r="J85" s="11" t="n">
        <x:f>SUM(J82:J84)</x:f>
        <x:v>796728.6188758333</x:v>
      </x:c>
      <x:c r="K85" s="11" t="n">
        <x:f>SUM(K82:K84)</x:f>
        <x:v>787720.6990504167</x:v>
      </x:c>
      <x:c r="L85" s="11" t="n">
        <x:f>SUM(L82:L84)</x:f>
        <x:v>781809.33905875</x:v>
      </x:c>
      <x:c r="M85" s="11" t="n">
        <x:f>SUM(M82:M84)</x:f>
        <x:v>775526.9540670833</x:v>
      </x:c>
      <x:c r="N85" s="11" t="n">
        <x:f>SUM(N82:N84)</x:f>
        <x:v>769227.9190754166</x:v>
      </x:c>
      <x:c r="O85" s="11" t="n">
        <x:f>SUM(O82:O84)</x:f>
        <x:v>762912.2340837499</x:v>
      </x:c>
      <x:c r="P85" s="11" t="n">
        <x:f>SUM(P82:P84)</x:f>
        <x:v>756627.7440173333</x:v>
      </x:c>
      <x:c r="Q85" s="11" t="n">
        <x:f>SUM(Q82:Q84)</x:f>
        <x:v>750113.4794509166</x:v>
      </x:c>
      <x:c r="R85" s="11" t="n">
        <x:f>SUM(R82:R84)</x:f>
        <x:v>743582.0653845</x:v>
      </x:c>
      <x:c r="S85" s="11" t="n">
        <x:f>SUM(S82:S84)</x:f>
        <x:v>737033.5018180833</x:v>
      </x:c>
      <x:c r="T85" s="11" t="n">
        <x:f>SUM(T82:T84)</x:f>
        <x:v>730467.7887516667</x:v>
      </x:c>
      <x:c r="U85" s="11" t="n">
        <x:f>SUM(U82:U84)</x:f>
        <x:v>723884.92618525</x:v>
      </x:c>
      <x:c r="V85" s="11" t="n">
        <x:f>SUM(V82:V84)</x:f>
        <x:v>717284.9141188334</x:v>
      </x:c>
      <x:c r="W85" s="11" t="n">
        <x:f>SUM(W82:W84)</x:f>
        <x:v>710667.7525524168</x:v>
      </x:c>
      <x:c r="X85" s="11" t="n">
        <x:f>SUM(X82:X84)</x:f>
        <x:v>704033.4414860001</x:v>
      </x:c>
      <x:c r="Y85" s="11" t="n">
        <x:f>SUM(Y82:Y84)</x:f>
        <x:v>697381.9809195835</x:v>
      </x:c>
      <x:c r="Z85" s="11" t="n">
        <x:f>SUM(Z82:Z84)</x:f>
        <x:v>690713.3708531668</x:v>
      </x:c>
      <x:c r="AA85" s="11" t="n">
        <x:f>SUM(AA82:AA84)</x:f>
        <x:v>684027.6112867501</x:v>
      </x:c>
      <x:c r="AB85" s="11" t="n">
        <x:f>SUM(AB82:AB84)</x:f>
        <x:v>677364.5204933409</x:v>
      </x:c>
      <x:c r="AC85" s="11" t="n">
        <x:f>SUM(AC82:AC84)</x:f>
        <x:v>670464.7619649316</x:v>
      </x:c>
      <x:c r="AD85" s="11" t="n">
        <x:f>SUM(AD82:AD84)</x:f>
        <x:v>663547.3394515226</x:v>
      </x:c>
      <x:c r="AE85" s="11" t="n">
        <x:f>SUM(AE82:AE84)</x:f>
        <x:v>656612.2529531133</x:v>
      </x:c>
      <x:c r="AF85" s="11" t="n">
        <x:f>SUM(AF82:AF84)</x:f>
        <x:v>649659.5024697043</x:v>
      </x:c>
      <x:c r="AG85" s="11" t="n">
        <x:f>SUM(AG82:AG84)</x:f>
        <x:v>642689.088001295</x:v>
      </x:c>
      <x:c r="AH85" s="11" t="n">
        <x:f>SUM(AH82:AH84)</x:f>
        <x:v>635701.009547886</x:v>
      </x:c>
      <x:c r="AI85" s="11" t="n">
        <x:f>SUM(AI82:AI84)</x:f>
        <x:v>628695.2671094767</x:v>
      </x:c>
      <x:c r="AJ85" s="11" t="n">
        <x:f>SUM(AJ82:AJ84)</x:f>
        <x:v>621671.8606860675</x:v>
      </x:c>
      <x:c r="AK85" s="11" t="n">
        <x:f>SUM(AK82:AK84)</x:f>
        <x:v>614630.7902776584</x:v>
      </x:c>
      <x:c r="AL85" s="11" t="n">
        <x:f>SUM(AL82:AL84)</x:f>
        <x:v>607572.0558842493</x:v>
      </x:c>
      <x:c r="AM85" s="11" t="n">
        <x:f>SUM(AM82:AM84)</x:f>
        <x:v>600495.6575058401</x:v>
      </x:c>
      <x:c r="AN85" s="2"/>
    </x:row>
    <x:row r="86" ht="21" customHeight="1">
      <x:c r="A86" s="1"/>
      <x:c r="B86" s="1"/>
      <x:c r="C86" s="1" t="str">
        <x:v>Balance-sheet difference</x:v>
      </x:c>
      <x:c r="D86" s="18" t="n">
        <x:f>D81-D85</x:f>
        <x:v>0</x:v>
      </x:c>
      <x:c r="E86" s="18" t="n">
        <x:f>E81-E85</x:f>
        <x:v>1.1641532182693481e-10</x:v>
      </x:c>
      <x:c r="F86" s="18" t="n">
        <x:f>F81-F85</x:f>
        <x:v>0</x:v>
      </x:c>
      <x:c r="G86" s="18" t="n">
        <x:f>G81-G85</x:f>
        <x:v>0</x:v>
      </x:c>
      <x:c r="H86" s="18" t="n">
        <x:f>H81-H85</x:f>
        <x:v>1.1641532182693481e-10</x:v>
      </x:c>
      <x:c r="I86" s="18" t="n">
        <x:f>I81-I85</x:f>
        <x:v>0</x:v>
      </x:c>
      <x:c r="J86" s="18" t="n">
        <x:f>J81-J85</x:f>
        <x:v>0</x:v>
      </x:c>
      <x:c r="K86" s="18" t="n">
        <x:f>K81-K85</x:f>
        <x:v>0</x:v>
      </x:c>
      <x:c r="L86" s="18" t="n">
        <x:f>L81-L85</x:f>
        <x:v>1.1641532182693481e-10</x:v>
      </x:c>
      <x:c r="M86" s="18" t="n">
        <x:f>M81-M85</x:f>
        <x:v>0</x:v>
      </x:c>
      <x:c r="N86" s="18" t="n">
        <x:f>N81-N85</x:f>
        <x:v>0</x:v>
      </x:c>
      <x:c r="O86" s="18" t="n">
        <x:f>O81-O85</x:f>
        <x:v>1.1641532182693481e-10</x:v>
      </x:c>
      <x:c r="P86" s="18" t="n">
        <x:f>P81-P85</x:f>
        <x:v>0</x:v>
      </x:c>
      <x:c r="Q86" s="18" t="n">
        <x:f>Q81-Q85</x:f>
        <x:v>0</x:v>
      </x:c>
      <x:c r="R86" s="18" t="n">
        <x:f>R81-R85</x:f>
        <x:v>0</x:v>
      </x:c>
      <x:c r="S86" s="18" t="n">
        <x:f>S81-S85</x:f>
        <x:v>0</x:v>
      </x:c>
      <x:c r="T86" s="18" t="n">
        <x:f>T81-T85</x:f>
        <x:v>0</x:v>
      </x:c>
      <x:c r="U86" s="18" t="n">
        <x:f>U81-U85</x:f>
        <x:v>0</x:v>
      </x:c>
      <x:c r="V86" s="18" t="n">
        <x:f>V81-V85</x:f>
        <x:v>0</x:v>
      </x:c>
      <x:c r="W86" s="18" t="n">
        <x:f>W81-W85</x:f>
        <x:v>-1.1641532182693481e-10</x:v>
      </x:c>
      <x:c r="X86" s="18" t="n">
        <x:f>X81-X85</x:f>
        <x:v>-1.1641532182693481e-10</x:v>
      </x:c>
      <x:c r="Y86" s="18" t="n">
        <x:f>Y81-Y85</x:f>
        <x:v>-1.1641532182693481e-10</x:v>
      </x:c>
      <x:c r="Z86" s="18" t="n">
        <x:f>Z81-Z85</x:f>
        <x:v>-1.1641532182693481e-10</x:v>
      </x:c>
      <x:c r="AA86" s="18" t="n">
        <x:f>AA81-AA85</x:f>
        <x:v>0</x:v>
      </x:c>
      <x:c r="AB86" s="18" t="n">
        <x:f>AB81-AB85</x:f>
        <x:v>0</x:v>
      </x:c>
      <x:c r="AC86" s="18" t="n">
        <x:f>AC81-AC85</x:f>
        <x:v>0</x:v>
      </x:c>
      <x:c r="AD86" s="18" t="n">
        <x:f>AD81-AD85</x:f>
        <x:v>0</x:v>
      </x:c>
      <x:c r="AE86" s="18" t="n">
        <x:f>AE81-AE85</x:f>
        <x:v>1.1641532182693481e-10</x:v>
      </x:c>
      <x:c r="AF86" s="18" t="n">
        <x:f>AF81-AF85</x:f>
        <x:v>0</x:v>
      </x:c>
      <x:c r="AG86" s="18" t="n">
        <x:f>AG81-AG85</x:f>
        <x:v>0</x:v>
      </x:c>
      <x:c r="AH86" s="18" t="n">
        <x:f>AH81-AH85</x:f>
        <x:v>0</x:v>
      </x:c>
      <x:c r="AI86" s="18" t="n">
        <x:f>AI81-AI85</x:f>
        <x:v>0</x:v>
      </x:c>
      <x:c r="AJ86" s="18" t="n">
        <x:f>AJ81-AJ85</x:f>
        <x:v>1.1641532182693481e-10</x:v>
      </x:c>
      <x:c r="AK86" s="18" t="n">
        <x:f>AK81-AK85</x:f>
        <x:v>1.1641532182693481e-10</x:v>
      </x:c>
      <x:c r="AL86" s="18" t="n">
        <x:f>AL81-AL85</x:f>
        <x:v>0</x:v>
      </x:c>
      <x:c r="AM86" s="18" t="n">
        <x:f>AM81-AM85</x:f>
        <x:v>0</x:v>
      </x:c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 t="str">
        <x:v>Fixed operating cost</x:v>
      </x:c>
      <x:c r="D88" s="9" t="n">
        <x:f>D47+SUM(D51:D52)</x:f>
        <x:v>63212.54916666667</x:v>
      </x:c>
      <x:c r="E88" s="9" t="n">
        <x:f>E47+SUM(E51:E52)</x:f>
        <x:v>63212.54916666667</x:v>
      </x:c>
      <x:c r="F88" s="9" t="n">
        <x:f>F47+SUM(F51:F52)</x:f>
        <x:v>63212.54916666667</x:v>
      </x:c>
      <x:c r="G88" s="9" t="n">
        <x:f>G47+SUM(G51:G52)</x:f>
        <x:v>63212.54916666667</x:v>
      </x:c>
      <x:c r="H88" s="9" t="n">
        <x:f>H47+SUM(H51:H52)</x:f>
        <x:v>63212.54916666667</x:v>
      </x:c>
      <x:c r="I88" s="9" t="n">
        <x:f>I47+SUM(I51:I52)</x:f>
        <x:v>63212.54916666667</x:v>
      </x:c>
      <x:c r="J88" s="9" t="n">
        <x:f>J47+SUM(J51:J52)</x:f>
        <x:v>63212.54916666667</x:v>
      </x:c>
      <x:c r="K88" s="9" t="n">
        <x:f>K47+SUM(K51:K52)</x:f>
        <x:v>63212.54916666667</x:v>
      </x:c>
      <x:c r="L88" s="9" t="n">
        <x:f>L47+SUM(L51:L52)</x:f>
        <x:v>63212.54916666667</x:v>
      </x:c>
      <x:c r="M88" s="9" t="n">
        <x:f>M47+SUM(M51:M52)</x:f>
        <x:v>63212.54916666667</x:v>
      </x:c>
      <x:c r="N88" s="9" t="n">
        <x:f>N47+SUM(N51:N52)</x:f>
        <x:v>63212.54916666667</x:v>
      </x:c>
      <x:c r="O88" s="9" t="n">
        <x:f>O47+SUM(O51:O52)</x:f>
        <x:v>63212.54916666667</x:v>
      </x:c>
      <x:c r="P88" s="9" t="n">
        <x:f>P47+SUM(P51:P52)</x:f>
        <x:v>65266.62564166666</x:v>
      </x:c>
      <x:c r="Q88" s="9" t="n">
        <x:f>Q47+SUM(Q51:Q52)</x:f>
        <x:v>65266.62564166666</x:v>
      </x:c>
      <x:c r="R88" s="9" t="n">
        <x:f>R47+SUM(R51:R52)</x:f>
        <x:v>65266.62564166666</x:v>
      </x:c>
      <x:c r="S88" s="9" t="n">
        <x:f>S47+SUM(S51:S52)</x:f>
        <x:v>65266.62564166666</x:v>
      </x:c>
      <x:c r="T88" s="9" t="n">
        <x:f>T47+SUM(T51:T52)</x:f>
        <x:v>65266.62564166666</x:v>
      </x:c>
      <x:c r="U88" s="9" t="n">
        <x:f>U47+SUM(U51:U52)</x:f>
        <x:v>65266.62564166666</x:v>
      </x:c>
      <x:c r="V88" s="9" t="n">
        <x:f>V47+SUM(V51:V52)</x:f>
        <x:v>65266.62564166666</x:v>
      </x:c>
      <x:c r="W88" s="9" t="n">
        <x:f>W47+SUM(W51:W52)</x:f>
        <x:v>65266.62564166666</x:v>
      </x:c>
      <x:c r="X88" s="9" t="n">
        <x:f>X47+SUM(X51:X52)</x:f>
        <x:v>65266.62564166666</x:v>
      </x:c>
      <x:c r="Y88" s="9" t="n">
        <x:f>Y47+SUM(Y51:Y52)</x:f>
        <x:v>65266.62564166666</x:v>
      </x:c>
      <x:c r="Z88" s="9" t="n">
        <x:f>Z47+SUM(Z51:Z52)</x:f>
        <x:v>65266.62564166666</x:v>
      </x:c>
      <x:c r="AA88" s="9" t="n">
        <x:f>AA47+SUM(AA51:AA52)</x:f>
        <x:v>65266.62564166666</x:v>
      </x:c>
      <x:c r="AB88" s="9" t="n">
        <x:f>AB47+SUM(AB51:AB52)</x:f>
        <x:v>67391.78641091667</x:v>
      </x:c>
      <x:c r="AC88" s="9" t="n">
        <x:f>AC47+SUM(AC51:AC52)</x:f>
        <x:v>67391.78641091667</x:v>
      </x:c>
      <x:c r="AD88" s="9" t="n">
        <x:f>AD47+SUM(AD51:AD52)</x:f>
        <x:v>67391.78641091667</x:v>
      </x:c>
      <x:c r="AE88" s="9" t="n">
        <x:f>AE47+SUM(AE51:AE52)</x:f>
        <x:v>67391.78641091667</x:v>
      </x:c>
      <x:c r="AF88" s="9" t="n">
        <x:f>AF47+SUM(AF51:AF52)</x:f>
        <x:v>67391.78641091667</x:v>
      </x:c>
      <x:c r="AG88" s="9" t="n">
        <x:f>AG47+SUM(AG51:AG52)</x:f>
        <x:v>67391.78641091667</x:v>
      </x:c>
      <x:c r="AH88" s="9" t="n">
        <x:f>AH47+SUM(AH51:AH52)</x:f>
        <x:v>67391.78641091667</x:v>
      </x:c>
      <x:c r="AI88" s="9" t="n">
        <x:f>AI47+SUM(AI51:AI52)</x:f>
        <x:v>67391.78641091667</x:v>
      </x:c>
      <x:c r="AJ88" s="9" t="n">
        <x:f>AJ47+SUM(AJ51:AJ52)</x:f>
        <x:v>67391.78641091667</x:v>
      </x:c>
      <x:c r="AK88" s="9" t="n">
        <x:f>AK47+SUM(AK51:AK52)</x:f>
        <x:v>67391.78641091667</x:v>
      </x:c>
      <x:c r="AL88" s="9" t="n">
        <x:f>AL47+SUM(AL51:AL52)</x:f>
        <x:v>67391.78641091667</x:v>
      </x:c>
      <x:c r="AM88" s="9" t="n">
        <x:f>AM47+SUM(AM51:AM52)</x:f>
        <x:v>67391.78641091667</x:v>
      </x:c>
      <x:c r="AN88" s="2"/>
    </x:row>
    <x:row r="89" ht="21" customHeight="1">
      <x:c r="A89" s="1"/>
      <x:c r="B89" s="1"/>
      <x:c r="C89" s="1" t="str">
        <x:v>Variable operating cost</x:v>
      </x:c>
      <x:c r="D89" s="9" t="n">
        <x:f>D32+D48+SUM(D53:D55)</x:f>
        <x:v>18822.0641625</x:v>
      </x:c>
      <x:c r="E89" s="9" t="n">
        <x:f>E32+E48+SUM(E53:E55)</x:f>
        <x:v>22586.476995</x:v>
      </x:c>
      <x:c r="F89" s="9" t="n">
        <x:f>F32+F48+SUM(F53:F55)</x:f>
        <x:v>26350.889827500003</x:v>
      </x:c>
      <x:c r="G89" s="9" t="n">
        <x:f>G32+G48+SUM(G53:G55)</x:f>
        <x:v>28233.096243750002</x:v>
      </x:c>
      <x:c r="H89" s="9" t="n">
        <x:f>H32+H48+SUM(H53:H55)</x:f>
        <x:v>30115.30266</x:v>
      </x:c>
      <x:c r="I89" s="9" t="n">
        <x:f>I32+I48+SUM(I53:I55)</x:f>
        <x:v>31997.50907625</x:v>
      </x:c>
      <x:c r="J89" s="9" t="n">
        <x:f>J32+J48+SUM(J53:J55)</x:f>
        <x:v>33879.7154925</x:v>
      </x:c>
      <x:c r="K89" s="9" t="n">
        <x:f>K32+K48+SUM(K53:K55)</x:f>
        <x:v>35761.921908749995</x:v>
      </x:c>
      <x:c r="L89" s="9" t="n">
        <x:f>L32+L48+SUM(L53:L55)</x:f>
        <x:v>37644.128325</x:v>
      </x:c>
      <x:c r="M89" s="9" t="n">
        <x:f>M32+M48+SUM(M53:M55)</x:f>
        <x:v>37644.128325</x:v>
      </x:c>
      <x:c r="N89" s="9" t="n">
        <x:f>N32+N48+SUM(N53:N55)</x:f>
        <x:v>37644.128325</x:v>
      </x:c>
      <x:c r="O89" s="9" t="n">
        <x:f>O32+O48+SUM(O53:O55)</x:f>
        <x:v>37644.128325</x:v>
      </x:c>
      <x:c r="P89" s="9" t="n">
        <x:f>P32+P48+SUM(P53:P55)</x:f>
        <x:v>38751.58217475</x:v>
      </x:c>
      <x:c r="Q89" s="9" t="n">
        <x:f>Q32+Q48+SUM(Q53:Q55)</x:f>
        <x:v>38751.58217475</x:v>
      </x:c>
      <x:c r="R89" s="9" t="n">
        <x:f>R32+R48+SUM(R53:R55)</x:f>
        <x:v>38751.58217475</x:v>
      </x:c>
      <x:c r="S89" s="9" t="n">
        <x:f>S32+S48+SUM(S53:S55)</x:f>
        <x:v>38751.58217475</x:v>
      </x:c>
      <x:c r="T89" s="9" t="n">
        <x:f>T32+T48+SUM(T53:T55)</x:f>
        <x:v>38751.58217475</x:v>
      </x:c>
      <x:c r="U89" s="9" t="n">
        <x:f>U32+U48+SUM(U53:U55)</x:f>
        <x:v>38751.58217475</x:v>
      </x:c>
      <x:c r="V89" s="9" t="n">
        <x:f>V32+V48+SUM(V53:V55)</x:f>
        <x:v>38751.58217475</x:v>
      </x:c>
      <x:c r="W89" s="9" t="n">
        <x:f>W32+W48+SUM(W53:W55)</x:f>
        <x:v>38751.58217475</x:v>
      </x:c>
      <x:c r="X89" s="9" t="n">
        <x:f>X32+X48+SUM(X53:X55)</x:f>
        <x:v>38751.58217475</x:v>
      </x:c>
      <x:c r="Y89" s="9" t="n">
        <x:f>Y32+Y48+SUM(Y53:Y55)</x:f>
        <x:v>38751.58217475</x:v>
      </x:c>
      <x:c r="Z89" s="9" t="n">
        <x:f>Z32+Z48+SUM(Z53:Z55)</x:f>
        <x:v>38751.58217475</x:v>
      </x:c>
      <x:c r="AA89" s="9" t="n">
        <x:f>AA32+AA48+SUM(AA53:AA55)</x:f>
        <x:v>38751.58217475</x:v>
      </x:c>
      <x:c r="AB89" s="9" t="n">
        <x:f>AB32+AB48+SUM(AB53:AB55)</x:f>
        <x:v>39892.2596399925</x:v>
      </x:c>
      <x:c r="AC89" s="9" t="n">
        <x:f>AC32+AC48+SUM(AC53:AC55)</x:f>
        <x:v>39892.2596399925</x:v>
      </x:c>
      <x:c r="AD89" s="9" t="n">
        <x:f>AD32+AD48+SUM(AD53:AD55)</x:f>
        <x:v>39892.2596399925</x:v>
      </x:c>
      <x:c r="AE89" s="9" t="n">
        <x:f>AE32+AE48+SUM(AE53:AE55)</x:f>
        <x:v>39892.2596399925</x:v>
      </x:c>
      <x:c r="AF89" s="9" t="n">
        <x:f>AF32+AF48+SUM(AF53:AF55)</x:f>
        <x:v>39892.2596399925</x:v>
      </x:c>
      <x:c r="AG89" s="9" t="n">
        <x:f>AG32+AG48+SUM(AG53:AG55)</x:f>
        <x:v>39892.2596399925</x:v>
      </x:c>
      <x:c r="AH89" s="9" t="n">
        <x:f>AH32+AH48+SUM(AH53:AH55)</x:f>
        <x:v>39892.2596399925</x:v>
      </x:c>
      <x:c r="AI89" s="9" t="n">
        <x:f>AI32+AI48+SUM(AI53:AI55)</x:f>
        <x:v>39892.2596399925</x:v>
      </x:c>
      <x:c r="AJ89" s="9" t="n">
        <x:f>AJ32+AJ48+SUM(AJ53:AJ55)</x:f>
        <x:v>39892.2596399925</x:v>
      </x:c>
      <x:c r="AK89" s="9" t="n">
        <x:f>AK32+AK48+SUM(AK53:AK55)</x:f>
        <x:v>39892.2596399925</x:v>
      </x:c>
      <x:c r="AL89" s="9" t="n">
        <x:f>AL32+AL48+SUM(AL53:AL55)</x:f>
        <x:v>39892.2596399925</x:v>
      </x:c>
      <x:c r="AM89" s="9" t="n">
        <x:f>AM32+AM48+SUM(AM53:AM55)</x:f>
        <x:v>39892.2596399925</x:v>
      </x:c>
      <x:c r="AN89" s="2"/>
    </x:row>
    <x:row r="90" ht="21" customHeight="1">
      <x:c r="A90" s="1"/>
      <x:c r="B90" s="1"/>
      <x:c r="C90" s="1" t="str">
        <x:v>Contribution margin</x:v>
      </x:c>
      <x:c r="D90" s="25" t="n">
        <x:f>1-D89/D27</x:f>
        <x:v>0.6231818986486486</x:v>
      </x:c>
      <x:c r="E90" s="25" t="n">
        <x:f>1-E89/E27</x:f>
        <x:v>0.6231818986486486</x:v>
      </x:c>
      <x:c r="F90" s="25" t="n">
        <x:f>1-F89/F27</x:f>
        <x:v>0.6231818986486486</x:v>
      </x:c>
      <x:c r="G90" s="25" t="n">
        <x:f>1-G89/G27</x:f>
        <x:v>0.6231818986486486</x:v>
      </x:c>
      <x:c r="H90" s="25" t="n">
        <x:f>1-H89/H27</x:f>
        <x:v>0.6231818986486486</x:v>
      </x:c>
      <x:c r="I90" s="25" t="n">
        <x:f>1-I89/I27</x:f>
        <x:v>0.6231818986486486</x:v>
      </x:c>
      <x:c r="J90" s="25" t="n">
        <x:f>1-J89/J27</x:f>
        <x:v>0.6231818986486486</x:v>
      </x:c>
      <x:c r="K90" s="25" t="n">
        <x:f>1-K89/K27</x:f>
        <x:v>0.6231818986486487</x:v>
      </x:c>
      <x:c r="L90" s="25" t="n">
        <x:f>1-L89/L27</x:f>
        <x:v>0.6231818986486486</x:v>
      </x:c>
      <x:c r="M90" s="25" t="n">
        <x:f>1-M89/M27</x:f>
        <x:v>0.6231818986486486</x:v>
      </x:c>
      <x:c r="N90" s="25" t="n">
        <x:f>1-N89/N27</x:f>
        <x:v>0.6231818986486486</x:v>
      </x:c>
      <x:c r="O90" s="25" t="n">
        <x:f>1-O89/O27</x:f>
        <x:v>0.6231818986486486</x:v>
      </x:c>
      <x:c r="P90" s="25" t="n">
        <x:f>1-P89/P27</x:f>
        <x:v>0.6233944412883757</x:v>
      </x:c>
      <x:c r="Q90" s="25" t="n">
        <x:f>1-Q89/Q27</x:f>
        <x:v>0.6233944412883757</x:v>
      </x:c>
      <x:c r="R90" s="25" t="n">
        <x:f>1-R89/R27</x:f>
        <x:v>0.6233944412883757</x:v>
      </x:c>
      <x:c r="S90" s="25" t="n">
        <x:f>1-S89/S27</x:f>
        <x:v>0.6233944412883757</x:v>
      </x:c>
      <x:c r="T90" s="25" t="n">
        <x:f>1-T89/T27</x:f>
        <x:v>0.6233944412883757</x:v>
      </x:c>
      <x:c r="U90" s="25" t="n">
        <x:f>1-U89/U27</x:f>
        <x:v>0.6233944412883757</x:v>
      </x:c>
      <x:c r="V90" s="25" t="n">
        <x:f>1-V89/V27</x:f>
        <x:v>0.6233944412883757</x:v>
      </x:c>
      <x:c r="W90" s="25" t="n">
        <x:f>1-W89/W27</x:f>
        <x:v>0.6233944412883757</x:v>
      </x:c>
      <x:c r="X90" s="25" t="n">
        <x:f>1-X89/X27</x:f>
        <x:v>0.6233944412883757</x:v>
      </x:c>
      <x:c r="Y90" s="25" t="n">
        <x:f>1-Y89/Y27</x:f>
        <x:v>0.6233944412883757</x:v>
      </x:c>
      <x:c r="Z90" s="25" t="n">
        <x:f>1-Z89/Z27</x:f>
        <x:v>0.6233944412883757</x:v>
      </x:c>
      <x:c r="AA90" s="25" t="n">
        <x:f>1-AA89/AA27</x:f>
        <x:v>0.6233944412883757</x:v>
      </x:c>
      <x:c r="AB90" s="25" t="n">
        <x:f>1-AB89/AB27</x:f>
        <x:v>0.6236007933657808</x:v>
      </x:c>
      <x:c r="AC90" s="25" t="n">
        <x:f>1-AC89/AC27</x:f>
        <x:v>0.6236007933657808</x:v>
      </x:c>
      <x:c r="AD90" s="25" t="n">
        <x:f>1-AD89/AD27</x:f>
        <x:v>0.6236007933657808</x:v>
      </x:c>
      <x:c r="AE90" s="25" t="n">
        <x:f>1-AE89/AE27</x:f>
        <x:v>0.6236007933657808</x:v>
      </x:c>
      <x:c r="AF90" s="25" t="n">
        <x:f>1-AF89/AF27</x:f>
        <x:v>0.6236007933657808</x:v>
      </x:c>
      <x:c r="AG90" s="25" t="n">
        <x:f>1-AG89/AG27</x:f>
        <x:v>0.6236007933657808</x:v>
      </x:c>
      <x:c r="AH90" s="25" t="n">
        <x:f>1-AH89/AH27</x:f>
        <x:v>0.6236007933657808</x:v>
      </x:c>
      <x:c r="AI90" s="25" t="n">
        <x:f>1-AI89/AI27</x:f>
        <x:v>0.6236007933657808</x:v>
      </x:c>
      <x:c r="AJ90" s="25" t="n">
        <x:f>1-AJ89/AJ27</x:f>
        <x:v>0.6236007933657808</x:v>
      </x:c>
      <x:c r="AK90" s="25" t="n">
        <x:f>1-AK89/AK27</x:f>
        <x:v>0.6236007933657808</x:v>
      </x:c>
      <x:c r="AL90" s="25" t="n">
        <x:f>1-AL89/AL27</x:f>
        <x:v>0.6236007933657808</x:v>
      </x:c>
      <x:c r="AM90" s="25" t="n">
        <x:f>1-AM89/AM27</x:f>
        <x:v>0.6236007933657808</x:v>
      </x:c>
      <x:c r="AN90" s="2"/>
    </x:row>
    <x:row r="91" ht="21" customHeight="1">
      <x:c r="A91" s="1"/>
      <x:c r="B91" s="1"/>
      <x:c r="C91" s="10" t="str">
        <x:v>Operating break-even monthly sales</x:v>
      </x:c>
      <x:c r="D91" s="11" t="n">
        <x:f>D88/D90</x:f>
        <x:v>101435.14967899614</x:v>
      </x:c>
      <x:c r="E91" s="11" t="n">
        <x:f>E88/E90</x:f>
        <x:v>101435.14967899614</x:v>
      </x:c>
      <x:c r="F91" s="11" t="n">
        <x:f>F88/F90</x:f>
        <x:v>101435.14967899614</x:v>
      </x:c>
      <x:c r="G91" s="11" t="n">
        <x:f>G88/G90</x:f>
        <x:v>101435.14967899614</x:v>
      </x:c>
      <x:c r="H91" s="11" t="n">
        <x:f>H88/H90</x:f>
        <x:v>101435.14967899614</x:v>
      </x:c>
      <x:c r="I91" s="11" t="n">
        <x:f>I88/I90</x:f>
        <x:v>101435.14967899614</x:v>
      </x:c>
      <x:c r="J91" s="11" t="n">
        <x:f>J88/J90</x:f>
        <x:v>101435.14967899614</x:v>
      </x:c>
      <x:c r="K91" s="11" t="n">
        <x:f>K88/K90</x:f>
        <x:v>101435.14967899612</x:v>
      </x:c>
      <x:c r="L91" s="11" t="n">
        <x:f>L88/L90</x:f>
        <x:v>101435.14967899614</x:v>
      </x:c>
      <x:c r="M91" s="11" t="n">
        <x:f>M88/M90</x:f>
        <x:v>101435.14967899614</x:v>
      </x:c>
      <x:c r="N91" s="11" t="n">
        <x:f>N88/N90</x:f>
        <x:v>101435.14967899614</x:v>
      </x:c>
      <x:c r="O91" s="11" t="n">
        <x:f>O88/O90</x:f>
        <x:v>101435.14967899614</x:v>
      </x:c>
      <x:c r="P91" s="11" t="n">
        <x:f>P88/P90</x:f>
        <x:v>104695.55279764679</x:v>
      </x:c>
      <x:c r="Q91" s="11" t="n">
        <x:f>Q88/Q90</x:f>
        <x:v>104695.55279764679</x:v>
      </x:c>
      <x:c r="R91" s="11" t="n">
        <x:f>R88/R90</x:f>
        <x:v>104695.55279764679</x:v>
      </x:c>
      <x:c r="S91" s="11" t="n">
        <x:f>S88/S90</x:f>
        <x:v>104695.55279764679</x:v>
      </x:c>
      <x:c r="T91" s="11" t="n">
        <x:f>T88/T90</x:f>
        <x:v>104695.55279764679</x:v>
      </x:c>
      <x:c r="U91" s="11" t="n">
        <x:f>U88/U90</x:f>
        <x:v>104695.55279764679</x:v>
      </x:c>
      <x:c r="V91" s="11" t="n">
        <x:f>V88/V90</x:f>
        <x:v>104695.55279764679</x:v>
      </x:c>
      <x:c r="W91" s="11" t="n">
        <x:f>W88/W90</x:f>
        <x:v>104695.55279764679</x:v>
      </x:c>
      <x:c r="X91" s="11" t="n">
        <x:f>X88/X90</x:f>
        <x:v>104695.55279764679</x:v>
      </x:c>
      <x:c r="Y91" s="11" t="n">
        <x:f>Y88/Y90</x:f>
        <x:v>104695.55279764679</x:v>
      </x:c>
      <x:c r="Z91" s="11" t="n">
        <x:f>Z88/Z90</x:f>
        <x:v>104695.55279764679</x:v>
      </x:c>
      <x:c r="AA91" s="11" t="n">
        <x:f>AA88/AA90</x:f>
        <x:v>104695.55279764679</x:v>
      </x:c>
      <x:c r="AB91" s="11" t="n">
        <x:f>AB88/AB90</x:f>
        <x:v>108068.79517773028</x:v>
      </x:c>
      <x:c r="AC91" s="11" t="n">
        <x:f>AC88/AC90</x:f>
        <x:v>108068.79517773028</x:v>
      </x:c>
      <x:c r="AD91" s="11" t="n">
        <x:f>AD88/AD90</x:f>
        <x:v>108068.79517773028</x:v>
      </x:c>
      <x:c r="AE91" s="11" t="n">
        <x:f>AE88/AE90</x:f>
        <x:v>108068.79517773028</x:v>
      </x:c>
      <x:c r="AF91" s="11" t="n">
        <x:f>AF88/AF90</x:f>
        <x:v>108068.79517773028</x:v>
      </x:c>
      <x:c r="AG91" s="11" t="n">
        <x:f>AG88/AG90</x:f>
        <x:v>108068.79517773028</x:v>
      </x:c>
      <x:c r="AH91" s="11" t="n">
        <x:f>AH88/AH90</x:f>
        <x:v>108068.79517773028</x:v>
      </x:c>
      <x:c r="AI91" s="11" t="n">
        <x:f>AI88/AI90</x:f>
        <x:v>108068.79517773028</x:v>
      </x:c>
      <x:c r="AJ91" s="11" t="n">
        <x:f>AJ88/AJ90</x:f>
        <x:v>108068.79517773028</x:v>
      </x:c>
      <x:c r="AK91" s="11" t="n">
        <x:f>AK88/AK90</x:f>
        <x:v>108068.79517773028</x:v>
      </x:c>
      <x:c r="AL91" s="11" t="n">
        <x:f>AL88/AL90</x:f>
        <x:v>108068.79517773028</x:v>
      </x:c>
      <x:c r="AM91" s="11" t="n">
        <x:f>AM88/AM90</x:f>
        <x:v>108068.79517773028</x:v>
      </x:c>
      <x:c r="AN91" s="2"/>
    </x:row>
    <x:row r="92" ht="21" customHeight="1">
      <x:c r="A92" s="1"/>
      <x:c r="B92" s="1"/>
      <x:c r="C92" s="1" t="str">
        <x:v>Cash policy floor</x:v>
      </x:c>
      <x:c r="D92" s="4" t="n">
        <x:f>D88*'Assumptions'!D57</x:f>
        <x:v>189637.64750000002</x:v>
      </x:c>
      <x:c r="E92" s="4" t="n">
        <x:f>E88*'Assumptions'!D57</x:f>
        <x:v>189637.64750000002</x:v>
      </x:c>
      <x:c r="F92" s="4" t="n">
        <x:f>F88*'Assumptions'!D57</x:f>
        <x:v>189637.64750000002</x:v>
      </x:c>
      <x:c r="G92" s="4" t="n">
        <x:f>G88*'Assumptions'!D57</x:f>
        <x:v>189637.64750000002</x:v>
      </x:c>
      <x:c r="H92" s="4" t="n">
        <x:f>H88*'Assumptions'!D57</x:f>
        <x:v>189637.64750000002</x:v>
      </x:c>
      <x:c r="I92" s="4" t="n">
        <x:f>I88*'Assumptions'!D57</x:f>
        <x:v>189637.64750000002</x:v>
      </x:c>
      <x:c r="J92" s="4" t="n">
        <x:f>J88*'Assumptions'!D57</x:f>
        <x:v>189637.64750000002</x:v>
      </x:c>
      <x:c r="K92" s="4" t="n">
        <x:f>K88*'Assumptions'!D57</x:f>
        <x:v>189637.64750000002</x:v>
      </x:c>
      <x:c r="L92" s="4" t="n">
        <x:f>L88*'Assumptions'!D57</x:f>
        <x:v>189637.64750000002</x:v>
      </x:c>
      <x:c r="M92" s="4" t="n">
        <x:f>M88*'Assumptions'!D57</x:f>
        <x:v>189637.64750000002</x:v>
      </x:c>
      <x:c r="N92" s="4" t="n">
        <x:f>N88*'Assumptions'!D57</x:f>
        <x:v>189637.64750000002</x:v>
      </x:c>
      <x:c r="O92" s="4" t="n">
        <x:f>O88*'Assumptions'!D57</x:f>
        <x:v>189637.64750000002</x:v>
      </x:c>
      <x:c r="P92" s="4" t="n">
        <x:f>P88*'Assumptions'!E57</x:f>
        <x:v>195799.876925</x:v>
      </x:c>
      <x:c r="Q92" s="4" t="n">
        <x:f>Q88*'Assumptions'!E57</x:f>
        <x:v>195799.876925</x:v>
      </x:c>
      <x:c r="R92" s="4" t="n">
        <x:f>R88*'Assumptions'!E57</x:f>
        <x:v>195799.876925</x:v>
      </x:c>
      <x:c r="S92" s="4" t="n">
        <x:f>S88*'Assumptions'!E57</x:f>
        <x:v>195799.876925</x:v>
      </x:c>
      <x:c r="T92" s="4" t="n">
        <x:f>T88*'Assumptions'!E57</x:f>
        <x:v>195799.876925</x:v>
      </x:c>
      <x:c r="U92" s="4" t="n">
        <x:f>U88*'Assumptions'!E57</x:f>
        <x:v>195799.876925</x:v>
      </x:c>
      <x:c r="V92" s="4" t="n">
        <x:f>V88*'Assumptions'!E57</x:f>
        <x:v>195799.876925</x:v>
      </x:c>
      <x:c r="W92" s="4" t="n">
        <x:f>W88*'Assumptions'!E57</x:f>
        <x:v>195799.876925</x:v>
      </x:c>
      <x:c r="X92" s="4" t="n">
        <x:f>X88*'Assumptions'!E57</x:f>
        <x:v>195799.876925</x:v>
      </x:c>
      <x:c r="Y92" s="4" t="n">
        <x:f>Y88*'Assumptions'!E57</x:f>
        <x:v>195799.876925</x:v>
      </x:c>
      <x:c r="Z92" s="4" t="n">
        <x:f>Z88*'Assumptions'!E57</x:f>
        <x:v>195799.876925</x:v>
      </x:c>
      <x:c r="AA92" s="4" t="n">
        <x:f>AA88*'Assumptions'!E57</x:f>
        <x:v>195799.876925</x:v>
      </x:c>
      <x:c r="AB92" s="4" t="n">
        <x:f>AB88*'Assumptions'!F57</x:f>
        <x:v>202175.35923275002</x:v>
      </x:c>
      <x:c r="AC92" s="4" t="n">
        <x:f>AC88*'Assumptions'!F57</x:f>
        <x:v>202175.35923275002</x:v>
      </x:c>
      <x:c r="AD92" s="4" t="n">
        <x:f>AD88*'Assumptions'!F57</x:f>
        <x:v>202175.35923275002</x:v>
      </x:c>
      <x:c r="AE92" s="4" t="n">
        <x:f>AE88*'Assumptions'!F57</x:f>
        <x:v>202175.35923275002</x:v>
      </x:c>
      <x:c r="AF92" s="4" t="n">
        <x:f>AF88*'Assumptions'!F57</x:f>
        <x:v>202175.35923275002</x:v>
      </x:c>
      <x:c r="AG92" s="4" t="n">
        <x:f>AG88*'Assumptions'!F57</x:f>
        <x:v>202175.35923275002</x:v>
      </x:c>
      <x:c r="AH92" s="4" t="n">
        <x:f>AH88*'Assumptions'!F57</x:f>
        <x:v>202175.35923275002</x:v>
      </x:c>
      <x:c r="AI92" s="4" t="n">
        <x:f>AI88*'Assumptions'!F57</x:f>
        <x:v>202175.35923275002</x:v>
      </x:c>
      <x:c r="AJ92" s="4" t="n">
        <x:f>AJ88*'Assumptions'!F57</x:f>
        <x:v>202175.35923275002</x:v>
      </x:c>
      <x:c r="AK92" s="4" t="n">
        <x:f>AK88*'Assumptions'!F57</x:f>
        <x:v>202175.35923275002</x:v>
      </x:c>
      <x:c r="AL92" s="4" t="n">
        <x:f>AL88*'Assumptions'!F57</x:f>
        <x:v>202175.35923275002</x:v>
      </x:c>
      <x:c r="AM92" s="4" t="n">
        <x:f>AM88*'Assumptions'!F57</x:f>
        <x:v>202175.35923275002</x:v>
      </x:c>
      <x:c r="AN92" s="2"/>
    </x:row>
    <x:row r="93" ht="21" customHeight="1">
      <x:c r="A93" s="1"/>
      <x:c r="B93" s="1"/>
      <x:c r="C93" s="1" t="str">
        <x:v>Cash above / below policy</x:v>
      </x:c>
      <x:c r="D93" s="9" t="n">
        <x:f>D75-D92</x:f>
        <x:v>200324.98917083332</x:v>
      </x:c>
      <x:c r="E93" s="9" t="n">
        <x:f>E75-E92</x:f>
        <x:v>173975.91300916666</x:v>
      </x:c>
      <x:c r="F93" s="9" t="n">
        <x:f>F75-F92</x:f>
        <x:v>153752.52401499997</x:v>
      </x:c>
      <x:c r="G93" s="9" t="n">
        <x:f>G75-G92</x:f>
        <x:v>136537.3036045833</x:v>
      </x:c>
      <x:c r="H93" s="9" t="n">
        <x:f>H75-H92</x:f>
        <x:v>122384.92677791667</x:v>
      </x:c>
      <x:c r="I93" s="9" t="n">
        <x:f>I75-I92</x:f>
        <x:v>111295.39353499998</x:v>
      </x:c>
      <x:c r="J93" s="9" t="n">
        <x:f>J75-J92</x:f>
        <x:v>103268.70387583331</x:v>
      </x:c>
      <x:c r="K93" s="9" t="n">
        <x:f>K75-K92</x:f>
        <x:v>98105.48280041665</x:v>
      </x:c>
      <x:c r="L93" s="9" t="n">
        <x:f>L75-L92</x:f>
        <x:v>95141.35530875</x:v>
      </x:c>
      <x:c r="M93" s="9" t="n">
        <x:f>M75-M92</x:f>
        <x:v>93185.67781708331</x:v>
      </x:c>
      <x:c r="N93" s="9" t="n">
        <x:f>N75-N92</x:f>
        <x:v>91230.00032541662</x:v>
      </x:c>
      <x:c r="O93" s="9" t="n">
        <x:f>O75-O92</x:f>
        <x:v>89274.32283374993</x:v>
      </x:c>
      <x:c r="P93" s="9" t="n">
        <x:f>P75-P92</x:f>
        <x:v>80356.8455923333</x:v>
      </x:c>
      <x:c r="Q93" s="9" t="n">
        <x:f>Q75-Q92</x:f>
        <x:v>78206.66777591663</x:v>
      </x:c>
      <x:c r="R93" s="9" t="n">
        <x:f>R75-R92</x:f>
        <x:v>76056.48995949997</x:v>
      </x:c>
      <x:c r="S93" s="9" t="n">
        <x:f>S75-S92</x:f>
        <x:v>73906.31214308331</x:v>
      </x:c>
      <x:c r="T93" s="9" t="n">
        <x:f>T75-T92</x:f>
        <x:v>71756.13432666665</x:v>
      </x:c>
      <x:c r="U93" s="9" t="n">
        <x:f>U75-U92</x:f>
        <x:v>69605.95651024999</x:v>
      </x:c>
      <x:c r="V93" s="9" t="n">
        <x:f>V75-V92</x:f>
        <x:v>67455.77869383333</x:v>
      </x:c>
      <x:c r="W93" s="9" t="n">
        <x:f>W75-W92</x:f>
        <x:v>65305.60087741667</x:v>
      </x:c>
      <x:c r="X93" s="9" t="n">
        <x:f>X75-X92</x:f>
        <x:v>63155.42306100001</x:v>
      </x:c>
      <x:c r="Y93" s="9" t="n">
        <x:f>Y75-Y92</x:f>
        <x:v>61005.24524458335</x:v>
      </x:c>
      <x:c r="Z93" s="9" t="n">
        <x:f>Z75-Z92</x:f>
        <x:v>58855.06742816669</x:v>
      </x:c>
      <x:c r="AA93" s="9" t="n">
        <x:f>AA75-AA92</x:f>
        <x:v>56704.889611750026</x:v>
      </x:c>
      <x:c r="AB93" s="9" t="n">
        <x:f>AB75-AB92</x:f>
        <x:v>47346.21005309085</x:v>
      </x:c>
      <x:c r="AC93" s="9" t="n">
        <x:f>AC75-AC92</x:f>
        <x:v>44986.23490218169</x:v>
      </x:c>
      <x:c r="AD93" s="9" t="n">
        <x:f>AD75-AD92</x:f>
        <x:v>42626.25975127253</x:v>
      </x:c>
      <x:c r="AE93" s="9" t="n">
        <x:f>AE75-AE92</x:f>
        <x:v>40266.284600363375</x:v>
      </x:c>
      <x:c r="AF93" s="9" t="n">
        <x:f>AF75-AF92</x:f>
        <x:v>37906.30944945422</x:v>
      </x:c>
      <x:c r="AG93" s="9" t="n">
        <x:f>AG75-AG92</x:f>
        <x:v>35546.33429854506</x:v>
      </x:c>
      <x:c r="AH93" s="9" t="n">
        <x:f>AH75-AH92</x:f>
        <x:v>33186.3591476359</x:v>
      </x:c>
      <x:c r="AI93" s="9" t="n">
        <x:f>AI75-AI92</x:f>
        <x:v>30826.38399672674</x:v>
      </x:c>
      <x:c r="AJ93" s="9" t="n">
        <x:f>AJ75-AJ92</x:f>
        <x:v>28466.408845817583</x:v>
      </x:c>
      <x:c r="AK93" s="9" t="n">
        <x:f>AK75-AK92</x:f>
        <x:v>26106.433694908425</x:v>
      </x:c>
      <x:c r="AL93" s="9" t="n">
        <x:f>AL75-AL92</x:f>
        <x:v>23746.458543999266</x:v>
      </x:c>
      <x:c r="AM93" s="9" t="n">
        <x:f>AM75-AM92</x:f>
        <x:v>21386.483393090108</x:v>
      </x:c>
      <x:c r="AN93" s="2"/>
    </x:row>
    <x:row r="94" ht="21" customHeight="1">
      <x:c r="A94" s="1"/>
      <x:c r="B94" s="1"/>
      <x:c r="C94" s="1" t="str">
        <x:v>Sales per paid visit</x:v>
      </x:c>
      <x:c r="D94" s="9" t="n">
        <x:f>D27/D22</x:f>
        <x:v>18.5</x:v>
      </x:c>
      <x:c r="E94" s="9" t="n">
        <x:f>E27/E22</x:f>
        <x:v>18.5</x:v>
      </x:c>
      <x:c r="F94" s="9" t="n">
        <x:f>F27/F22</x:f>
        <x:v>18.5</x:v>
      </x:c>
      <x:c r="G94" s="9" t="n">
        <x:f>G27/G22</x:f>
        <x:v>18.5</x:v>
      </x:c>
      <x:c r="H94" s="9" t="n">
        <x:f>H27/H22</x:f>
        <x:v>18.5</x:v>
      </x:c>
      <x:c r="I94" s="9" t="n">
        <x:f>I27/I22</x:f>
        <x:v>18.5</x:v>
      </x:c>
      <x:c r="J94" s="9" t="n">
        <x:f>J27/J22</x:f>
        <x:v>18.5</x:v>
      </x:c>
      <x:c r="K94" s="9" t="n">
        <x:f>K27/K22</x:f>
        <x:v>18.5</x:v>
      </x:c>
      <x:c r="L94" s="9" t="n">
        <x:f>L27/L22</x:f>
        <x:v>18.5</x:v>
      </x:c>
      <x:c r="M94" s="9" t="n">
        <x:f>M27/M22</x:f>
        <x:v>18.5</x:v>
      </x:c>
      <x:c r="N94" s="9" t="n">
        <x:f>N27/N22</x:f>
        <x:v>18.5</x:v>
      </x:c>
      <x:c r="O94" s="9" t="n">
        <x:f>O27/O22</x:f>
        <x:v>18.5</x:v>
      </x:c>
      <x:c r="P94" s="9" t="n">
        <x:f>P27/P22</x:f>
        <x:v>19.055</x:v>
      </x:c>
      <x:c r="Q94" s="9" t="n">
        <x:f>Q27/Q22</x:f>
        <x:v>19.055</x:v>
      </x:c>
      <x:c r="R94" s="9" t="n">
        <x:f>R27/R22</x:f>
        <x:v>19.055</x:v>
      </x:c>
      <x:c r="S94" s="9" t="n">
        <x:f>S27/S22</x:f>
        <x:v>19.055</x:v>
      </x:c>
      <x:c r="T94" s="9" t="n">
        <x:f>T27/T22</x:f>
        <x:v>19.055</x:v>
      </x:c>
      <x:c r="U94" s="9" t="n">
        <x:f>U27/U22</x:f>
        <x:v>19.055</x:v>
      </x:c>
      <x:c r="V94" s="9" t="n">
        <x:f>V27/V22</x:f>
        <x:v>19.055</x:v>
      </x:c>
      <x:c r="W94" s="9" t="n">
        <x:f>W27/W22</x:f>
        <x:v>19.055</x:v>
      </x:c>
      <x:c r="X94" s="9" t="n">
        <x:f>X27/X22</x:f>
        <x:v>19.055</x:v>
      </x:c>
      <x:c r="Y94" s="9" t="n">
        <x:f>Y27/Y22</x:f>
        <x:v>19.055</x:v>
      </x:c>
      <x:c r="Z94" s="9" t="n">
        <x:f>Z27/Z22</x:f>
        <x:v>19.055</x:v>
      </x:c>
      <x:c r="AA94" s="9" t="n">
        <x:f>AA27/AA22</x:f>
        <x:v>19.055</x:v>
      </x:c>
      <x:c r="AB94" s="9" t="n">
        <x:f>AB27/AB22</x:f>
        <x:v>19.62665</x:v>
      </x:c>
      <x:c r="AC94" s="9" t="n">
        <x:f>AC27/AC22</x:f>
        <x:v>19.62665</x:v>
      </x:c>
      <x:c r="AD94" s="9" t="n">
        <x:f>AD27/AD22</x:f>
        <x:v>19.62665</x:v>
      </x:c>
      <x:c r="AE94" s="9" t="n">
        <x:f>AE27/AE22</x:f>
        <x:v>19.62665</x:v>
      </x:c>
      <x:c r="AF94" s="9" t="n">
        <x:f>AF27/AF22</x:f>
        <x:v>19.62665</x:v>
      </x:c>
      <x:c r="AG94" s="9" t="n">
        <x:f>AG27/AG22</x:f>
        <x:v>19.62665</x:v>
      </x:c>
      <x:c r="AH94" s="9" t="n">
        <x:f>AH27/AH22</x:f>
        <x:v>19.62665</x:v>
      </x:c>
      <x:c r="AI94" s="9" t="n">
        <x:f>AI27/AI22</x:f>
        <x:v>19.62665</x:v>
      </x:c>
      <x:c r="AJ94" s="9" t="n">
        <x:f>AJ27/AJ22</x:f>
        <x:v>19.62665</x:v>
      </x:c>
      <x:c r="AK94" s="9" t="n">
        <x:f>AK27/AK22</x:f>
        <x:v>19.62665</x:v>
      </x:c>
      <x:c r="AL94" s="9" t="n">
        <x:f>AL27/AL22</x:f>
        <x:v>19.62665</x:v>
      </x:c>
      <x:c r="AM94" s="9" t="n">
        <x:f>AM27/AM22</x:f>
        <x:v>19.62665</x:v>
      </x:c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</x:sheetData>
  <x:conditionalFormatting sqref="D86:AM86">
    <x:cfRule type="cellIs" dxfId="0" priority="1" operator="notBetween">
      <x:formula>-0.01</x:formula>
      <x:formula>0.01</x:formula>
    </x:cfRule>
  </x:conditionalFormatting>
  <x:conditionalFormatting sqref="D93:AM93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B3D17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85" hidden="0" customWidth="1"/>
    <x:col min="9" max="9" width="9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21" customHeight="1">
      <x:c r="A2" s="1"/>
      <x:c r="B2" s="1"/>
      <x:c r="C2" s="3" t="str">
        <x:v>Opening investment and funding (USD)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 ht="21" customHeight="1">
      <x:c r="A3" s="1"/>
      <x:c r="B3" s="1"/>
      <x:c r="C3" s="1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21" customHeight="1">
      <x:c r="A4" s="1"/>
      <x:c r="B4" s="1"/>
      <x:c r="C4" s="1" t="str">
        <x:v>Case selected</x:v>
      </x:c>
      <x:c r="D4" s="5" t="str">
        <x:f>'Assumptions'!D4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21" customHeight="1">
      <x:c r="A5" s="1"/>
      <x:c r="B5" s="1"/>
      <x:c r="C5" s="1" t="str">
        <x:v>All funding is equity; no debt or distributions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 ht="21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21" customHeight="1">
      <x:c r="A7" s="1"/>
      <x:c r="B7" s="1"/>
      <x:c r="C7" s="23"/>
      <x:c r="D7" s="24" t="str">
        <x:v>Base allowance</x:v>
      </x:c>
      <x:c r="E7" s="24" t="str">
        <x:v>Selected case</x:v>
      </x:c>
      <x:c r="F7" s="24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</x:row>
    <x:row r="8" ht="21" customHeight="1">
      <x:c r="A8" s="1"/>
      <x:c r="B8" s="1"/>
      <x:c r="C8" s="1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</x:row>
    <x:row r="9" ht="21" customHeight="1">
      <x:c r="A9" s="1"/>
      <x:c r="B9" s="1"/>
      <x:c r="C9" s="1" t="str">
        <x:v>Works / furniture / equipment</x:v>
      </x:c>
      <x:c r="D9" s="6" t="n">
        <x:v>400000</x:v>
      </x:c>
      <x:c r="E9" s="4" t="n">
        <x:f>D9*'Assumptions'!D71</x:f>
        <x:v>400000</x:v>
      </x:c>
      <x:c r="F9" s="2"/>
      <x:c r="G9" s="2"/>
      <x:c r="H9" s="2" t="str">
        <x:v>Works budget assumes existing hospitality premises; no acquisition premium or major structural works.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</x:row>
    <x:row r="10" ht="21" customHeight="1">
      <x:c r="A10" s="1"/>
      <x:c r="B10" s="1"/>
      <x:c r="C10" s="1" t="str">
        <x:v>Contingency assumed fully spent</x:v>
      </x:c>
      <x:c r="D10" s="6" t="n">
        <x:v>80000</x:v>
      </x:c>
      <x:c r="E10" s="4" t="n">
        <x:f>D10*'Assumptions'!D71</x:f>
        <x:v>80000</x:v>
      </x:c>
      <x:c r="F10" s="2"/>
      <x:c r="G10" s="2"/>
      <x:c r="H10" s="2" t="str">
        <x:v>Contingency is treated as spent in all cases; do not add it again to the raise.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</x:row>
    <x:row r="11" ht="21" customHeight="1">
      <x:c r="A11" s="1"/>
      <x:c r="B11" s="1"/>
      <x:c r="C11" s="1" t="str">
        <x:v>Professional / legal / permit costs</x:v>
      </x:c>
      <x:c r="D11" s="6" t="n">
        <x:v>50000</x:v>
      </x:c>
      <x:c r="E11" s="9" t="n">
        <x:f>D11</x:f>
        <x:v>50000</x:v>
      </x:c>
      <x:c r="F11" s="2"/>
      <x:c r="G11" s="2"/>
      <x:c r="H11" s="2" t="str">
        <x:v>Expenses assumed fully expensed; actual tax/book treatment needs entity-specific review.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</x:row>
    <x:row r="12" ht="21" customHeight="1">
      <x:c r="A12" s="1"/>
      <x:c r="B12" s="1"/>
      <x:c r="C12" s="1" t="str">
        <x:v>Pre-opening payroll</x:v>
      </x:c>
      <x:c r="D12" s="6" t="n">
        <x:v>40000</x:v>
      </x:c>
      <x:c r="E12" s="9" t="n">
        <x:f>D12</x:f>
        <x:v>40000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</x:row>
    <x:row r="13" ht="21" customHeight="1">
      <x:c r="A13" s="1"/>
      <x:c r="B13" s="1"/>
      <x:c r="C13" s="1" t="str">
        <x:v>Launch marketing</x:v>
      </x:c>
      <x:c r="D13" s="6" t="n">
        <x:v>10000</x:v>
      </x:c>
      <x:c r="E13" s="9" t="n">
        <x:f>D13</x:f>
        <x:v>10000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21" customHeight="1">
      <x:c r="A14" s="1"/>
      <x:c r="B14" s="1"/>
      <x:c r="C14" s="1" t="str">
        <x:v>Pre-opening occupancy (four months)</x:v>
      </x:c>
      <x:c r="D14" s="6" t="n">
        <x:v>48000</x:v>
      </x:c>
      <x:c r="E14" s="9" t="n">
        <x:f>D14</x:f>
        <x:v>48000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21" customHeight="1">
      <x:c r="A15" s="1"/>
      <x:c r="B15" s="1"/>
      <x:c r="C15" s="1" t="str">
        <x:v>Refundable deposits</x:v>
      </x:c>
      <x:c r="D15" s="6" t="n">
        <x:v>30000</x:v>
      </x:c>
      <x:c r="E15" s="9" t="n">
        <x:f>D15</x:f>
        <x:v>30000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21" customHeight="1">
      <x:c r="A16" s="1"/>
      <x:c r="B16" s="1"/>
      <x:c r="C16" s="1" t="str">
        <x:v>Opening inventory</x:v>
      </x:c>
      <x:c r="D16" s="6" t="n">
        <x:v>20000</x:v>
      </x:c>
      <x:c r="E16" s="9" t="n">
        <x:f>D16</x:f>
        <x:v>20000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21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21" customHeight="1">
      <x:c r="A18" s="1"/>
      <x:c r="B18" s="1"/>
      <x:c r="C18" s="1" t="str">
        <x:v>Initial capital assets</x:v>
      </x:c>
      <x:c r="D18" s="2"/>
      <x:c r="E18" s="9" t="n">
        <x:f>SUM(E9:E10)</x:f>
        <x:v>480000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21" customHeight="1">
      <x:c r="A19" s="1"/>
      <x:c r="B19" s="1"/>
      <x:c r="C19" s="1" t="str">
        <x:v>Pre-opening expenses</x:v>
      </x:c>
      <x:c r="D19" s="2"/>
      <x:c r="E19" s="9" t="n">
        <x:f>SUM(E11:E14)</x:f>
        <x:v>148000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21" customHeight="1">
      <x:c r="A20" s="1"/>
      <x:c r="B20" s="1"/>
      <x:c r="C20" s="1" t="str">
        <x:v>Refundable deposit asset</x:v>
      </x:c>
      <x:c r="D20" s="2"/>
      <x:c r="E20" s="9" t="n">
        <x:f>E15</x:f>
        <x:v>30000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21" customHeight="1">
      <x:c r="A21" s="1"/>
      <x:c r="B21" s="1"/>
      <x:c r="C21" s="1" t="str">
        <x:v>Opening inventory asset</x:v>
      </x:c>
      <x:c r="D21" s="2"/>
      <x:c r="E21" s="9" t="n">
        <x:f>E16</x:f>
        <x:v>20000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21" customHeight="1">
      <x:c r="A22" s="1"/>
      <x:c r="B22" s="1"/>
      <x:c r="C22" s="1" t="str">
        <x:v>Total pre-opening cash use</x:v>
      </x:c>
      <x:c r="D22" s="2"/>
      <x:c r="E22" s="9" t="n">
        <x:f>SUM(E18:E21)</x:f>
        <x:v>678000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21" customHeight="1">
      <x:c r="A23" s="1"/>
      <x:c r="B23" s="1"/>
      <x:c r="C23" s="1" t="str">
        <x:v>Equity funding</x:v>
      </x:c>
      <x:c r="D23" s="2"/>
      <x:c r="E23" s="4" t="n">
        <x:f>'Assumptions'!D56</x:f>
        <x:v>1100000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21" customHeight="1">
      <x:c r="A24" s="1"/>
      <x:c r="B24" s="1"/>
      <x:c r="C24" s="1" t="str">
        <x:v>Opening unrestricted cash</x:v>
      </x:c>
      <x:c r="D24" s="2"/>
      <x:c r="E24" s="9" t="n">
        <x:f>E23-E22</x:f>
        <x:v>422000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21" customHeight="1">
      <x:c r="A25" s="1"/>
      <x:c r="B25" s="1"/>
      <x:c r="C25" s="1" t="str">
        <x:v>Initial retained earnings</x:v>
      </x:c>
      <x:c r="D25" s="2"/>
      <x:c r="E25" s="9" t="n">
        <x:f>-E19</x:f>
        <x:v>-148000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21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21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21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21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21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21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21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</x:row>
  </x:sheetData>
  <x:pageMargins left="0.7" right="0.7" top="0.75" bottom="0.75" header="0.3" footer="0.3"/>
</x:worksheet>
</file>